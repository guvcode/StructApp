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rizonltd-my.sharepoint.com/personal/aaraoye_nerizon_ca/Documents/NACS/NER-GC Doc/Structural Integrity/Inspection/"/>
    </mc:Choice>
  </mc:AlternateContent>
  <xr:revisionPtr revIDLastSave="93" documentId="8_{70B5D401-8A6E-457E-A63D-5BAFDC53934B}" xr6:coauthVersionLast="47" xr6:coauthVersionMax="47" xr10:uidLastSave="{D2B40255-26D3-45F3-9C2E-0808F2A1D6D4}"/>
  <bookViews>
    <workbookView xWindow="-110" yWindow="-110" windowWidth="19420" windowHeight="11500" tabRatio="858" firstSheet="1" activeTab="6" xr2:uid="{E49ABD63-4C95-4222-B8C5-8C68A86F0415}"/>
  </bookViews>
  <sheets>
    <sheet name="Instructions" sheetId="13" r:id="rId1"/>
    <sheet name="Asset Registry" sheetId="1" r:id="rId2"/>
    <sheet name="Inspections" sheetId="3" r:id="rId3"/>
    <sheet name="Photo_Register" sheetId="7" r:id="rId4"/>
    <sheet name="Site Summary" sheetId="8" r:id="rId5"/>
    <sheet name="Details" sheetId="2" r:id="rId6"/>
    <sheet name="Taxonomy" sheetId="14" r:id="rId7"/>
    <sheet name="Lookups" sheetId="12" state="hidden" r:id="rId8"/>
  </sheets>
  <definedNames>
    <definedName name="ComponentType_List">Lookups!$B$2:$B$27</definedName>
    <definedName name="Def_BCF">Lookups!$AF$2:$AF$4</definedName>
    <definedName name="Def_CFI">Lookups!$J$2:$J$12</definedName>
    <definedName name="Def_CML">Lookups!$F$2:$F$14</definedName>
    <definedName name="Def_CND">Lookups!$H$2:$H$11</definedName>
    <definedName name="Def_CRK">Lookups!$L$2:$L$10</definedName>
    <definedName name="Def_DFI">Lookups!$N$2:$N$17</definedName>
    <definedName name="Def_ENV">Lookups!$R$2:$R$13</definedName>
    <definedName name="Def_EWF">Lookups!$P$2:$P$3</definedName>
    <definedName name="Def_FDS">Lookups!$T$2:$T$18</definedName>
    <definedName name="Def_FH">Lookups!$AD$2:$AD$3</definedName>
    <definedName name="Def_GHK">Lookups!$V$2:$V$8</definedName>
    <definedName name="Def_MSI">Lookups!$X$2:$X$7</definedName>
    <definedName name="Def_PF">Lookups!$AH$2:$AH$4</definedName>
    <definedName name="Def_SIE">Lookups!$AB$2:$AB$5</definedName>
    <definedName name="Def_THR">Lookups!$Z$2:$Z$6</definedName>
    <definedName name="DefCat_List">Lookups!$A$2:$A$16</definedName>
    <definedName name="Focus_BCF">Lookups!$AX$2:$AX$3</definedName>
    <definedName name="Focus_CFI">Lookups!$AM$2:$AM$6</definedName>
    <definedName name="Focus_CML">Lookups!$AK$2:$AK$8</definedName>
    <definedName name="Focus_CND">Lookups!$AL$2:$AL$5</definedName>
    <definedName name="Focus_CRK">Lookups!$AN$2:$AN$4</definedName>
    <definedName name="Focus_DFI">Lookups!$AO$2:$AO$10</definedName>
    <definedName name="Focus_ENV">Lookups!$AQ$2:$AQ$6</definedName>
    <definedName name="Focus_EWF">Lookups!$AP$2:$AP$3</definedName>
    <definedName name="Focus_FDS">Lookups!$AR$2:$AR$10</definedName>
    <definedName name="Focus_FH">Lookups!$AW$2:$AW$3</definedName>
    <definedName name="Focus_GHK">Lookups!$AS$2:$AS$2</definedName>
    <definedName name="Focus_MSI">Lookups!$AT$2:$AT$3</definedName>
    <definedName name="Focus_PF">Lookups!$AY$2:$AY$4</definedName>
    <definedName name="Focus_SIE">Lookups!$AV$2:$AV$4</definedName>
    <definedName name="Focus_THR">Lookups!$AU$2:$AU$2</definedName>
    <definedName name="Mech_BCF">Lookups!$AG$2:$AG$3</definedName>
    <definedName name="Mech_CFI">Lookups!$K$2:$K$7</definedName>
    <definedName name="Mech_CML">Lookups!$G$2:$G$7</definedName>
    <definedName name="Mech_CND">Lookups!$I$2:$I$5</definedName>
    <definedName name="Mech_CRK">Lookups!$M$2:$M$7</definedName>
    <definedName name="Mech_DFI">Lookups!$O$2:$O$8</definedName>
    <definedName name="Mech_ENV">Lookups!$S$2:$S$8</definedName>
    <definedName name="Mech_EWF">Lookups!$Q$2:$Q$6</definedName>
    <definedName name="Mech_FDS">Lookups!$U$2:$U$11</definedName>
    <definedName name="Mech_FH">Lookups!$AE$2:$AE$2</definedName>
    <definedName name="Mech_GHK">Lookups!$W$2:$W$6</definedName>
    <definedName name="Mech_MSI">Lookups!$Y$2:$Y$4</definedName>
    <definedName name="Mech_PF">Lookups!$AI$2:$AI$4</definedName>
    <definedName name="Mech_SIE">Lookups!$AC$2:$AC$5</definedName>
    <definedName name="Mech_THR">Lookups!$AA$2:$AA$4</definedName>
    <definedName name="Priority_List">Lookups!$C$2:$C$6</definedName>
    <definedName name="Risk_List">Lookups!$E$2:$E$4</definedName>
    <definedName name="SiteList">Details!$A$2:$A$11</definedName>
    <definedName name="Sub_AccessLadder">Lookups!$BH$2</definedName>
    <definedName name="Sub_Beams">Lookups!$BU$2</definedName>
    <definedName name="Sub_Bracing">Lookups!$BV$2</definedName>
    <definedName name="Sub_BuildingStructure">Lookups!$BB$2</definedName>
    <definedName name="Sub_CableTray">Lookups!$BL$2</definedName>
    <definedName name="Sub_CableTraySupport">Lookups!$BR$2</definedName>
    <definedName name="Sub_CatwalksWalkways">Lookups!$BN$2</definedName>
    <definedName name="Sub_ClarifierTank">Lookups!$BX$2</definedName>
    <definedName name="Sub_Column">Lookups!$BJ$2</definedName>
    <definedName name="Sub_ConcreteFloor">Lookups!$BF$2</definedName>
    <definedName name="Sub_ConfinedSpace">Lookups!$BI$2</definedName>
    <definedName name="Sub_FixedLaddersCages">Lookups!$BP$2</definedName>
    <definedName name="Sub_FloorPlate">Lookups!$BD$2</definedName>
    <definedName name="Sub_FoundationPier">Lookups!$BG$2</definedName>
    <definedName name="Sub_Grating">Lookups!$BE$2</definedName>
    <definedName name="Sub_HandrailsGuardrails">Lookups!$BO$2</definedName>
    <definedName name="Sub_LimeSilo">Lookups!$BY$2</definedName>
    <definedName name="Sub_Others">Lookups!$BZ$2</definedName>
    <definedName name="Sub_PipeSupport">Lookups!$BS$2</definedName>
    <definedName name="Sub_Platform">Lookups!$BM$2</definedName>
    <definedName name="Sub_PumpSupport">Lookups!$BT$2</definedName>
    <definedName name="Sub_Roofing">Lookups!$BA$2</definedName>
    <definedName name="Sub_RoofMountedUnit">Lookups!$BW$2</definedName>
    <definedName name="Sub_Stairway">Lookups!$BK$2</definedName>
    <definedName name="Sub_StorageTank">Lookups!$BC$2</definedName>
    <definedName name="Sub_WallCladding">Lookups!$BQ$2</definedName>
    <definedName name="YesNo_List">Lookups!$D$2:$D$3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3" i="8" l="1"/>
  <c r="B23" i="8" s="1"/>
  <c r="A22" i="8"/>
  <c r="B22" i="8" s="1"/>
  <c r="A21" i="8"/>
  <c r="B21" i="8" s="1"/>
  <c r="A20" i="8"/>
  <c r="B20" i="8" s="1"/>
  <c r="A19" i="8"/>
  <c r="B19" i="8" s="1"/>
  <c r="A18" i="8"/>
  <c r="B18" i="8" s="1"/>
  <c r="A17" i="8"/>
  <c r="B17" i="8" s="1"/>
  <c r="A16" i="8"/>
  <c r="B16" i="8" s="1"/>
  <c r="A15" i="8"/>
  <c r="B15" i="8" s="1"/>
  <c r="A14" i="8"/>
  <c r="B14" i="8" s="1"/>
  <c r="G13" i="8"/>
  <c r="E13" i="8"/>
  <c r="F13" i="8" s="1"/>
  <c r="A13" i="8"/>
  <c r="B13" i="8" s="1"/>
  <c r="G12" i="8"/>
  <c r="E12" i="8"/>
  <c r="F12" i="8" s="1"/>
  <c r="A12" i="8"/>
  <c r="B12" i="8" s="1"/>
  <c r="G11" i="8"/>
  <c r="E11" i="8"/>
  <c r="F11" i="8" s="1"/>
  <c r="A11" i="8"/>
  <c r="B11" i="8" s="1"/>
  <c r="G10" i="8"/>
  <c r="E10" i="8"/>
  <c r="F10" i="8" s="1"/>
  <c r="A10" i="8"/>
  <c r="B10" i="8" s="1"/>
  <c r="P9" i="8" a="1"/>
  <c r="P9" i="8" s="1"/>
  <c r="G9" i="8"/>
  <c r="E9" i="8"/>
  <c r="F9" i="8" s="1"/>
  <c r="F14" i="8" s="1"/>
  <c r="A9" i="8"/>
  <c r="B9" i="8" s="1"/>
  <c r="J5" i="8"/>
  <c r="H5" i="8"/>
  <c r="F5" i="8"/>
  <c r="D5" i="8"/>
  <c r="B5" i="8"/>
  <c r="B24" i="8" l="1"/>
  <c r="C24" i="8" s="1"/>
  <c r="C9" i="8"/>
  <c r="E28" i="8" a="1"/>
  <c r="E28" i="8" s="1"/>
  <c r="F28" i="8" s="1"/>
  <c r="E27" i="8" a="1"/>
  <c r="E27" i="8" s="1"/>
  <c r="F27" i="8" s="1"/>
  <c r="E26" i="8" a="1"/>
  <c r="E26" i="8" s="1"/>
  <c r="F26" i="8" s="1"/>
  <c r="E25" i="8" a="1"/>
  <c r="E25" i="8" s="1"/>
  <c r="F25" i="8" s="1"/>
  <c r="E24" i="8" a="1"/>
  <c r="E24" i="8" s="1"/>
  <c r="F24" i="8" s="1"/>
  <c r="E23" i="8" a="1"/>
  <c r="E23" i="8" s="1"/>
  <c r="F23" i="8" s="1"/>
  <c r="E22" i="8" a="1"/>
  <c r="E22" i="8" s="1"/>
  <c r="F22" i="8" s="1"/>
  <c r="E21" i="8" a="1"/>
  <c r="E21" i="8" s="1"/>
  <c r="F21" i="8" s="1"/>
  <c r="E20" i="8" a="1"/>
  <c r="E20" i="8" s="1"/>
  <c r="F20" i="8" s="1"/>
  <c r="E19" i="8" a="1"/>
  <c r="E19" i="8" s="1"/>
  <c r="F19" i="8" s="1"/>
  <c r="E18" i="8" a="1"/>
  <c r="E18" i="8" s="1"/>
  <c r="F18" i="8" s="1"/>
  <c r="E17" i="8" a="1"/>
  <c r="E17" i="8" s="1"/>
  <c r="F17" i="8" s="1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F42" i="8"/>
  <c r="E42" i="8"/>
  <c r="D42" i="8"/>
  <c r="C42" i="8"/>
  <c r="B42" i="8"/>
  <c r="F41" i="8"/>
  <c r="E41" i="8"/>
  <c r="D41" i="8"/>
  <c r="C41" i="8"/>
  <c r="B41" i="8"/>
  <c r="F40" i="8"/>
  <c r="E40" i="8"/>
  <c r="D40" i="8"/>
  <c r="C40" i="8"/>
  <c r="B40" i="8"/>
  <c r="F39" i="8"/>
  <c r="E39" i="8"/>
  <c r="D39" i="8"/>
  <c r="C39" i="8"/>
  <c r="B39" i="8"/>
  <c r="F38" i="8"/>
  <c r="E38" i="8"/>
  <c r="D38" i="8"/>
  <c r="C38" i="8"/>
  <c r="B38" i="8"/>
  <c r="I36" i="8"/>
  <c r="I35" i="8"/>
  <c r="I34" i="8"/>
  <c r="F29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S3" authorId="0" shapeId="0" xr:uid="{F3843D97-31C6-4877-882E-4F141EBA8B32}">
      <text>
        <r>
          <rPr>
            <sz val="11"/>
            <color theme="1"/>
            <rFont val="Aptos Narrow"/>
            <family val="2"/>
            <scheme val="minor"/>
          </rPr>
          <t>Select P1 to P5 based on site condition definitions in Instructions.</t>
        </r>
      </text>
    </comment>
    <comment ref="V3" authorId="0" shapeId="0" xr:uid="{83ECB4F2-EF17-4710-AA8E-7A773314D901}">
      <text>
        <r>
          <rPr>
            <sz val="11"/>
            <color theme="1"/>
            <rFont val="Aptos Narrow"/>
            <family val="2"/>
            <scheme val="minor"/>
          </rPr>
          <t>Any P1 deficiency should be communicated immediately to site personnel.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<sst xmlns="http://schemas.openxmlformats.org/spreadsheetml/2006/main" count="1797" uniqueCount="761">
  <si>
    <t>STRUCTURAL INTEGRITY ASSESSMENT — HOW TO USE THIS WORKBOOK</t>
  </si>
  <si>
    <t>A field + analysis tool for asset / structural integrity inspections</t>
  </si>
  <si>
    <t>1 · SET UP THE ASSET REGISTRY  (one-time, per asset)</t>
  </si>
  <si>
    <t>Open the Asset Registry tab. Ensure each asset has a row with its Site, Parent Asset, Asset ID, Asset Group, Asset Type and Location, and is marked In Scope. The Inspections tab pulls these automatically — accurate registry data means accurate records.</t>
  </si>
  <si>
    <t>2 · RECORD AN INSPECTION  (main workflow)</t>
  </si>
  <si>
    <t>Go to the Inspections tab and read the yellow banner. GREY columns auto-fill from the registry — do not type in them. TEAL columns are yours to fill.</t>
  </si>
  <si>
    <t>Fill the teal columns left to right: Inspection Date (yyyy-mm-dd) · Inspector Name · PPE Requirements Met (Yes/No) · Component Type.</t>
  </si>
  <si>
    <t>Deficiency Category — pick this FIRST. It drives the next two dropdowns.</t>
  </si>
  <si>
    <t>Detailed Description — now shows only the deficiencies relevant to the category you chose.</t>
  </si>
  <si>
    <t>Potential Failure Cause — shows only the mechanisms relevant to that category.</t>
  </si>
  <si>
    <t>Vibration Present · Impact Risk · Safety Risk.</t>
  </si>
  <si>
    <t>Priority Rating (P1–P5) — the grey Priority Description fills in automatically.</t>
  </si>
  <si>
    <t>Recommended Action, then the flags: Immediate Site Notification · Further Investigation Required · NDT Required (Yes/No).</t>
  </si>
  <si>
    <t>Something not in the list? You'll get a warning but can still type a one-off entry.</t>
  </si>
  <si>
    <t>3 · FIELD REFERENCE  (what to look for)</t>
  </si>
  <si>
    <t>Use the three framework tabs — Building_Enveloppe, Sructural_Sup_Eqpmt, Foundations_Geotech. Main table: Assets → Focus Area → Deficiency Category → Typical deficiencies. FMEA table: Deficiency → Mechanism → Effect → Focus Area.</t>
  </si>
  <si>
    <t>4 · PHOTOS</t>
  </si>
  <si>
    <t>Log photos in Photo_Register — link the Record ID, asset, date, description and file path / hyperlink.</t>
  </si>
  <si>
    <t>5 · REVIEW RESULTS</t>
  </si>
  <si>
    <t>Open Site Summary for live counts: KPI totals (P1s, immediate notifications, NDT) and deficiencies broken down by category, by priority and by site, with charts. Everything updates automatically as inspections are entered.</t>
  </si>
  <si>
    <t>BEHIND THE SCENES  (don't edit unless intentional)</t>
  </si>
  <si>
    <t>Details holds the dropdown source lists (sites, component types, deficiency categories, priority descriptions). Lookups (hidden) powers the cascading dropdowns.</t>
  </si>
  <si>
    <t>Legend:  GREY columns auto-fill from the Asset Registry  ·  TEAL columns are filled by the inspector.</t>
  </si>
  <si>
    <t>Asset Register</t>
  </si>
  <si>
    <t>Site</t>
  </si>
  <si>
    <t>Parent Asset</t>
  </si>
  <si>
    <t>Asset ID</t>
  </si>
  <si>
    <t>Category</t>
  </si>
  <si>
    <t>Component</t>
  </si>
  <si>
    <t>Location Description</t>
  </si>
  <si>
    <t>Access Notes</t>
  </si>
  <si>
    <t>In Scope</t>
  </si>
  <si>
    <t>Last Inspection Date</t>
  </si>
  <si>
    <t>Comments</t>
  </si>
  <si>
    <t>Bell Mine</t>
  </si>
  <si>
    <t>WTP</t>
  </si>
  <si>
    <t>No ID Yet</t>
  </si>
  <si>
    <t>Inspections</t>
  </si>
  <si>
    <t>▶  Fill the TEAL columns.  GREY columns auto-fill from the Asset Registry — do not type in them.  Tip: choose the Deficiency Category first — it filters the Detailed Description and Potential Failure Cause lists.</t>
  </si>
  <si>
    <t>Record ID</t>
  </si>
  <si>
    <t>Inspection Date</t>
  </si>
  <si>
    <t>Inspector Name</t>
  </si>
  <si>
    <t>PPE Requirements Met</t>
  </si>
  <si>
    <t>Component Type</t>
  </si>
  <si>
    <t>Sub-Component</t>
  </si>
  <si>
    <t>Deficiency Category</t>
  </si>
  <si>
    <t>Detailed Description</t>
  </si>
  <si>
    <t>Mechanisms</t>
  </si>
  <si>
    <t>Vibration Present</t>
  </si>
  <si>
    <t>Consequence Severity</t>
  </si>
  <si>
    <t>Most-Affected Consequence</t>
  </si>
  <si>
    <t>Priority Rating</t>
  </si>
  <si>
    <t>Priority Description</t>
  </si>
  <si>
    <t>Recommended Action</t>
  </si>
  <si>
    <t>Immediate Site Notification</t>
  </si>
  <si>
    <t>Further Investigation Required</t>
  </si>
  <si>
    <t>NDT Required</t>
  </si>
  <si>
    <t>Focus Area</t>
  </si>
  <si>
    <t>Likelihood</t>
  </si>
  <si>
    <t>Risk Rank</t>
  </si>
  <si>
    <t>Risk Rating</t>
  </si>
  <si>
    <t>REVIEW-20260703025411</t>
  </si>
  <si>
    <t>Building Envelope</t>
  </si>
  <si>
    <t>Neyo</t>
  </si>
  <si>
    <t>Yes</t>
  </si>
  <si>
    <t>Roofing systems</t>
  </si>
  <si>
    <t>Metal / panel</t>
  </si>
  <si>
    <t>EWF - Envelope Failure</t>
  </si>
  <si>
    <t>Poor maintenance (trip hazards)</t>
  </si>
  <si>
    <t>jhsjhgsD</t>
  </si>
  <si>
    <t>No</t>
  </si>
  <si>
    <t>1 - Negligible</t>
  </si>
  <si>
    <t>Health &amp; Safety</t>
  </si>
  <si>
    <t>P1</t>
  </si>
  <si>
    <t>Critical Condition - Immediate action required; repair within 60 days max</t>
  </si>
  <si>
    <t>srgfdgdfgfd</t>
  </si>
  <si>
    <t>Structural integrity | ASSET NOT IN REGISTRY - pending verification</t>
  </si>
  <si>
    <t>A - Almost Certain</t>
  </si>
  <si>
    <t>Medium</t>
  </si>
  <si>
    <t>REVIEW-20260703140822</t>
  </si>
  <si>
    <t>Admin Building</t>
  </si>
  <si>
    <t>Niyi</t>
  </si>
  <si>
    <t>Water ingress / leaks</t>
  </si>
  <si>
    <t>Water Ingress</t>
  </si>
  <si>
    <t>3 - Moderate</t>
  </si>
  <si>
    <t>P2</t>
  </si>
  <si>
    <t>Poor Condition - Repair actions needed within 12 months</t>
  </si>
  <si>
    <t>Fix the roof</t>
  </si>
  <si>
    <t>Primary framing | ASSET NOT IN REGISTRY - pending verification</t>
  </si>
  <si>
    <t>B - Likely</t>
  </si>
  <si>
    <t>High</t>
  </si>
  <si>
    <t>Photo Register</t>
  </si>
  <si>
    <t>Date Taken</t>
  </si>
  <si>
    <t>Photo Description</t>
  </si>
  <si>
    <t>File Path / Hyperlink</t>
  </si>
  <si>
    <t>Inspection photo(s) - EWF - Envelope Failure</t>
  </si>
  <si>
    <t>https://nerizonltd-my.sharepoint.com/personal/aaraoye_nerizon_ca/Documents/NACS/NER-GC%20Doc/Structural%20Integrity/Inspection/Inspection%20Photos/INSP_20260703025402_4_1e16bdde-9138-4b0c-8644-21db416852d8.png</t>
  </si>
  <si>
    <t>STRUCTURAL INTEGRITY ASSESSMENT — INSPECTION SUMMARY</t>
  </si>
  <si>
    <t>Live counts from the Inspections tab — updates automatically as inspectors record findings</t>
  </si>
  <si>
    <t>TOTAL DEFICIENCIES</t>
  </si>
  <si>
    <t>P1 — CRITICAL</t>
  </si>
  <si>
    <t>IMMEDIATE NOTIFY</t>
  </si>
  <si>
    <t>FURTHER INVESTIGATION</t>
  </si>
  <si>
    <t>NDT REQUIRED</t>
  </si>
  <si>
    <t>DEFICIENCY BY CATEGORY</t>
  </si>
  <si>
    <t>Count</t>
  </si>
  <si>
    <t>% of Total</t>
  </si>
  <si>
    <t>PRIORITY</t>
  </si>
  <si>
    <t>Condition</t>
  </si>
  <si>
    <t>helper — unique sites (auto)</t>
  </si>
  <si>
    <t>Total</t>
  </si>
  <si>
    <t>SITE</t>
  </si>
  <si>
    <t>RISK PROFILE (Glencore Matrix)</t>
  </si>
  <si>
    <t>Findings by Risk Rating</t>
  </si>
  <si>
    <t>High Risk (17-25)</t>
  </si>
  <si>
    <t>Medium Risk (7-16)</t>
  </si>
  <si>
    <t>Risk Matrix (Consequence x Likelihood)</t>
  </si>
  <si>
    <t>Low Risk (1-6)</t>
  </si>
  <si>
    <t>Consequence \ Likelihood</t>
  </si>
  <si>
    <t>A-Almost Certain</t>
  </si>
  <si>
    <t>B-Likely</t>
  </si>
  <si>
    <t>C-Possible</t>
  </si>
  <si>
    <t>D-Unlikely</t>
  </si>
  <si>
    <t>E-Rare</t>
  </si>
  <si>
    <t>5 - Catastrophic</t>
  </si>
  <si>
    <t>4 - Major</t>
  </si>
  <si>
    <t>2 - Minor</t>
  </si>
  <si>
    <t>Deficiency Categories</t>
  </si>
  <si>
    <t>Deficiency Description</t>
  </si>
  <si>
    <t>Priority</t>
  </si>
  <si>
    <t>Blackbird Mine</t>
  </si>
  <si>
    <t>Blower Building</t>
  </si>
  <si>
    <t>Roofing</t>
  </si>
  <si>
    <t>Membrane / metal roof</t>
  </si>
  <si>
    <t>British Colombia</t>
  </si>
  <si>
    <t>CML - Corrosion &amp; Material Loss</t>
  </si>
  <si>
    <t>Corrosion - Internal</t>
  </si>
  <si>
    <t>Critical Condition - Immediate action required</t>
  </si>
  <si>
    <t>Brenda Mine</t>
  </si>
  <si>
    <t>B-Mine Pump House</t>
  </si>
  <si>
    <t>Structural Support</t>
  </si>
  <si>
    <t>Building Structure</t>
  </si>
  <si>
    <t>New Brunswick</t>
  </si>
  <si>
    <t>CND - Concrete Deterioration</t>
  </si>
  <si>
    <t>Corrosion - External</t>
  </si>
  <si>
    <t>Water Treatment Plant</t>
  </si>
  <si>
    <t>Foundations &amp; Geotechnical</t>
  </si>
  <si>
    <t>Storage Tank</t>
  </si>
  <si>
    <t>Slab-on-grade</t>
  </si>
  <si>
    <t>Ontario</t>
  </si>
  <si>
    <t>CFI - Connection &amp; Joint Failures</t>
  </si>
  <si>
    <t>Loose / Missing Fittings</t>
  </si>
  <si>
    <t>P3</t>
  </si>
  <si>
    <t>Bad Condition - Repairs needed within 24 to 36 months</t>
  </si>
  <si>
    <t>Grey Eagle Mine</t>
  </si>
  <si>
    <t>Shop/Storage Building</t>
  </si>
  <si>
    <t>Process Equipment</t>
  </si>
  <si>
    <t>Floor Plate</t>
  </si>
  <si>
    <t>Steel / concrete</t>
  </si>
  <si>
    <t>Quebec</t>
  </si>
  <si>
    <t>CRK - Cracking Mechanisms</t>
  </si>
  <si>
    <t>Fire Damage</t>
  </si>
  <si>
    <t>P4</t>
  </si>
  <si>
    <t>Fair Condition - Monitor before next scheduled inspection</t>
  </si>
  <si>
    <t>Geco/Wilroy Mine</t>
  </si>
  <si>
    <t>Buffer Pond Pump House</t>
  </si>
  <si>
    <t>Others</t>
  </si>
  <si>
    <t>Grating</t>
  </si>
  <si>
    <t>Steel</t>
  </si>
  <si>
    <t>DFI - Deformation &amp; Mechanical Damage</t>
  </si>
  <si>
    <t>Vehicle / Impact Damage</t>
  </si>
  <si>
    <t>P5</t>
  </si>
  <si>
    <t>Good Condition - No repairs required</t>
  </si>
  <si>
    <t>Heath Steele Mine</t>
  </si>
  <si>
    <t>Fresh Water Pump House</t>
  </si>
  <si>
    <t>Concrete floors / slabs</t>
  </si>
  <si>
    <t>Steel grating</t>
  </si>
  <si>
    <t>Deterioration / Wear</t>
  </si>
  <si>
    <t>Mattabi Mine</t>
  </si>
  <si>
    <t>Chandlers Pump House</t>
  </si>
  <si>
    <t>Foundation Pier</t>
  </si>
  <si>
    <t>Steel stairs</t>
  </si>
  <si>
    <t>ENV - Environmental &amp; External Damage</t>
  </si>
  <si>
    <t>Environmental Damage</t>
  </si>
  <si>
    <t>Matagami Mine</t>
  </si>
  <si>
    <t>Chandlers Seepage Pump House</t>
  </si>
  <si>
    <t>Access Ladder</t>
  </si>
  <si>
    <t>Fixed ladder</t>
  </si>
  <si>
    <t>FDS - Foundation &amp; Settlement</t>
  </si>
  <si>
    <t>Poor Maintenance</t>
  </si>
  <si>
    <t>Brunswick Mine</t>
  </si>
  <si>
    <t>Portal Pump House</t>
  </si>
  <si>
    <t>Confined Space</t>
  </si>
  <si>
    <t>Grouted steel base</t>
  </si>
  <si>
    <t>GHK - General Housekeeping &amp; Maintenance</t>
  </si>
  <si>
    <t>Unauthorized Modification</t>
  </si>
  <si>
    <t>Montcalm Mine</t>
  </si>
  <si>
    <t>Stratmat Pump House</t>
  </si>
  <si>
    <t>Column</t>
  </si>
  <si>
    <t>Concrete ringwall</t>
  </si>
  <si>
    <t>MSI - Modification &amp; Structural Integrity</t>
  </si>
  <si>
    <t>Subsidence / Erosion</t>
  </si>
  <si>
    <t>Mosquito Ditch Pump House</t>
  </si>
  <si>
    <t>Stairway</t>
  </si>
  <si>
    <t>THR - Fire &amp; Thermal Damage</t>
  </si>
  <si>
    <t>Pest Damage</t>
  </si>
  <si>
    <t>Reactor Tank</t>
  </si>
  <si>
    <t>Cable Tray</t>
  </si>
  <si>
    <t>SIE - Soil Instability &amp; Erosion</t>
  </si>
  <si>
    <t>Coating Failure</t>
  </si>
  <si>
    <t>LSTR Pump House</t>
  </si>
  <si>
    <t>Platform</t>
  </si>
  <si>
    <t>FH - Frost Heave</t>
  </si>
  <si>
    <t>Cracking</t>
  </si>
  <si>
    <t>Administrative Building</t>
  </si>
  <si>
    <t>Catwalks&amp;Walkways</t>
  </si>
  <si>
    <t>BCF - Bearing Capacity Failure</t>
  </si>
  <si>
    <t>Spalling</t>
  </si>
  <si>
    <t>Warehouse</t>
  </si>
  <si>
    <t>Handrails &amp; Guardrails</t>
  </si>
  <si>
    <t>PF - Pile Foundations</t>
  </si>
  <si>
    <t>Deformation / Distortion</t>
  </si>
  <si>
    <t>Flume House</t>
  </si>
  <si>
    <t>Fixed Ladders &amp; Cages</t>
  </si>
  <si>
    <t>Section Loss</t>
  </si>
  <si>
    <t>LDS Pond</t>
  </si>
  <si>
    <t>Wall Cladding</t>
  </si>
  <si>
    <t>Settlement / Movement</t>
  </si>
  <si>
    <t>Sludge Pumphouse</t>
  </si>
  <si>
    <t>Cable Tray Support</t>
  </si>
  <si>
    <t>Pipe Support</t>
  </si>
  <si>
    <t>Loose fasteners</t>
  </si>
  <si>
    <t>Pump Support</t>
  </si>
  <si>
    <t>Missing components</t>
  </si>
  <si>
    <t>Beams / framing</t>
  </si>
  <si>
    <t>Stability</t>
  </si>
  <si>
    <t>Bracing</t>
  </si>
  <si>
    <t>Exposed reinforcement</t>
  </si>
  <si>
    <t>Roof Mounted Unit</t>
  </si>
  <si>
    <t>Missing bolts or welds</t>
  </si>
  <si>
    <t>Clarifier Tank</t>
  </si>
  <si>
    <t>Sagging</t>
  </si>
  <si>
    <t>Lime Silo</t>
  </si>
  <si>
    <t>Signs of overstress</t>
  </si>
  <si>
    <t>Structural columns (building)</t>
  </si>
  <si>
    <t>Missing or deteriorated insulation</t>
  </si>
  <si>
    <t>Steel deck deterioration</t>
  </si>
  <si>
    <t>Delamination</t>
  </si>
  <si>
    <t>Missing grout under baseplates/columns</t>
  </si>
  <si>
    <t>ASSET TAXONOMY  (consolidated from Building Envelope, Structural Support, Foundations &amp; Geotechnical)</t>
  </si>
  <si>
    <t>Scope</t>
  </si>
  <si>
    <t>Sub-component</t>
  </si>
  <si>
    <t>Indications</t>
  </si>
  <si>
    <t>Structural/building elements not tied to process loads</t>
  </si>
  <si>
    <t>Weatherproofing / water barrier</t>
  </si>
  <si>
    <t>Deck / structural support</t>
  </si>
  <si>
    <t>Corrosion of steel deck</t>
  </si>
  <si>
    <t>Structural integrity</t>
  </si>
  <si>
    <t>Sagging / deformation</t>
  </si>
  <si>
    <t>Wall cladding</t>
  </si>
  <si>
    <t>Envelope protection</t>
  </si>
  <si>
    <t>Water ingress</t>
  </si>
  <si>
    <t>External exposure</t>
  </si>
  <si>
    <t>Weather damage (wind/snow)</t>
  </si>
  <si>
    <t>Load-bearing slab</t>
  </si>
  <si>
    <t>Cracking / spalling</t>
  </si>
  <si>
    <t>Foundation interface</t>
  </si>
  <si>
    <t>Settlement / movement</t>
  </si>
  <si>
    <t>Vertical load members</t>
  </si>
  <si>
    <t>Corrosion (exposed steel)</t>
  </si>
  <si>
    <t>Alignment / plumb</t>
  </si>
  <si>
    <t>Misalignment / deformation</t>
  </si>
  <si>
    <t>Primary framing</t>
  </si>
  <si>
    <t>Fatigue or weld cracking</t>
  </si>
  <si>
    <t>Load capacity</t>
  </si>
  <si>
    <t>Deflection / overstress</t>
  </si>
  <si>
    <t>Walkways / platforms</t>
  </si>
  <si>
    <t>Access systems</t>
  </si>
  <si>
    <t>Corrosion-prone zones</t>
  </si>
  <si>
    <t>Corrosion of grating</t>
  </si>
  <si>
    <t>Stairways</t>
  </si>
  <si>
    <t>Access / safety systems</t>
  </si>
  <si>
    <t>Deformation / instability</t>
  </si>
  <si>
    <t>Access ladders &amp; cages</t>
  </si>
  <si>
    <t>Access / safety</t>
  </si>
  <si>
    <t>Loose/missing bolts</t>
  </si>
  <si>
    <t>Handrails / guardrails</t>
  </si>
  <si>
    <t>Safety barriers</t>
  </si>
  <si>
    <t>Missing or loose fittings</t>
  </si>
  <si>
    <t>Grating systems</t>
  </si>
  <si>
    <t>Access flooring</t>
  </si>
  <si>
    <t>Section loss / corrosion</t>
  </si>
  <si>
    <t>ALL</t>
  </si>
  <si>
    <t>External impact exposure</t>
  </si>
  <si>
    <t>Vehicle / equipment impact damage</t>
  </si>
  <si>
    <t>Environmental exposure</t>
  </si>
  <si>
    <t>Environmental degradation (snow, rain, wind)</t>
  </si>
  <si>
    <t>Unauthorized modification</t>
  </si>
  <si>
    <t>Poor maintenance / missing components</t>
  </si>
  <si>
    <t>Subsidence / erosion</t>
  </si>
  <si>
    <t>Fire damage</t>
  </si>
  <si>
    <t>Load transfer elements between equipment and structure</t>
  </si>
  <si>
    <t>Tank foundation / ringwall</t>
  </si>
  <si>
    <t>Soil interaction &amp; bearing support</t>
  </si>
  <si>
    <t>Settlement / differential settlement</t>
  </si>
  <si>
    <t>Concrete integrity / load distribution</t>
  </si>
  <si>
    <t>Soil erosion / drainage</t>
  </si>
  <si>
    <t>Erosion around foundation</t>
  </si>
  <si>
    <t>Pump bases / skids</t>
  </si>
  <si>
    <t>Baseplate support &amp; grout</t>
  </si>
  <si>
    <t>Missing grout under baseplate</t>
  </si>
  <si>
    <t>Anchorage system</t>
  </si>
  <si>
    <t>Anchor bolt failure</t>
  </si>
  <si>
    <t>Alignment &amp; load transfer</t>
  </si>
  <si>
    <t>Misalignment due to movement</t>
  </si>
  <si>
    <t>Pipe supports / hangers</t>
  </si>
  <si>
    <t>Spring / rigid</t>
  </si>
  <si>
    <t>Support fixation &amp; connections</t>
  </si>
  <si>
    <t>Loose or missing fasteners</t>
  </si>
  <si>
    <t>Structural capacity / load support</t>
  </si>
  <si>
    <t>Overloaded / bent supports</t>
  </si>
  <si>
    <t>Corrosion-prone contact points</t>
  </si>
  <si>
    <t>Corrosion at contact points</t>
  </si>
  <si>
    <t>Pipe racks</t>
  </si>
  <si>
    <t>Steel frame</t>
  </si>
  <si>
    <t>Structural steel integrity</t>
  </si>
  <si>
    <t>Corrosion of structural steel</t>
  </si>
  <si>
    <t>Load-bearing structure</t>
  </si>
  <si>
    <t>Structural deformation</t>
  </si>
  <si>
    <t>Equipment frames</t>
  </si>
  <si>
    <t>Steel skid</t>
  </si>
  <si>
    <t>Load frame / skid integrity</t>
  </si>
  <si>
    <t>Distortion under load</t>
  </si>
  <si>
    <t>Fatigue-prone structural elements</t>
  </si>
  <si>
    <t>Fatigue cracking</t>
  </si>
  <si>
    <t>Anchor bolts / baseplates</t>
  </si>
  <si>
    <t>Embedded steel</t>
  </si>
  <si>
    <t>Anchorage / fixing system</t>
  </si>
  <si>
    <t>Missing or loose anchor bolts</t>
  </si>
  <si>
    <t>Grout interface</t>
  </si>
  <si>
    <t>Grout deterioration</t>
  </si>
  <si>
    <t>Cable tray supports</t>
  </si>
  <si>
    <t>Secondary structural support</t>
  </si>
  <si>
    <t>Corrosion / coating failure</t>
  </si>
  <si>
    <t>Structural steel supporting vessels</t>
  </si>
  <si>
    <t>Columns / beams</t>
  </si>
  <si>
    <t>Primary load path</t>
  </si>
  <si>
    <t>Overstress / deformation</t>
  </si>
  <si>
    <t>Critical welded connections</t>
  </si>
  <si>
    <t>Cracks at welds</t>
  </si>
  <si>
    <t>External exposure / hazards</t>
  </si>
  <si>
    <t>Impact damage (vehicles)</t>
  </si>
  <si>
    <t>Structural modification control</t>
  </si>
  <si>
    <t>Maintenance condition</t>
  </si>
  <si>
    <t>Ground stability</t>
  </si>
  <si>
    <t>Fire exposure / thermal effects</t>
  </si>
  <si>
    <t>Systems transferring loads to ground</t>
  </si>
  <si>
    <t>Shallow foundations</t>
  </si>
  <si>
    <t>Spread footings</t>
  </si>
  <si>
    <t>Foundation footprint / global bearing area</t>
  </si>
  <si>
    <t>Uneven settlement</t>
  </si>
  <si>
    <t>Strip footings</t>
  </si>
  <si>
    <t>Bearing soil zones / load-support areas</t>
  </si>
  <si>
    <t>Cracking of foundations</t>
  </si>
  <si>
    <t>Slabs-on-grade</t>
  </si>
  <si>
    <t>Reinforced slab</t>
  </si>
  <si>
    <t>Subgrade support / compacted layers</t>
  </si>
  <si>
    <t>Tilting structures</t>
  </si>
  <si>
    <t>Groundwater table / saturated soil zones</t>
  </si>
  <si>
    <t>Loss of soil stiffness / bearing capacity</t>
  </si>
  <si>
    <t>Soil interaction zones</t>
  </si>
  <si>
    <t>Backfill / surrounding soil</t>
  </si>
  <si>
    <t>Drainage paths</t>
  </si>
  <si>
    <t>Voids under foundation</t>
  </si>
  <si>
    <t>Perimeter zones</t>
  </si>
  <si>
    <t>Washed-out soil</t>
  </si>
  <si>
    <t>Drainage interface / water ingress zones</t>
  </si>
  <si>
    <t>Undermining of foundation</t>
  </si>
  <si>
    <t>Frost-sensitive soils</t>
  </si>
  <si>
    <t>Upward movement</t>
  </si>
  <si>
    <t>Frost-susceptible soils</t>
  </si>
  <si>
    <t>Cracking and lifting</t>
  </si>
  <si>
    <t>Concrete foundations</t>
  </si>
  <si>
    <t>Footings / pedestals</t>
  </si>
  <si>
    <t>Footings / concrete foundation base</t>
  </si>
  <si>
    <t>Pedestals / localized load supports</t>
  </si>
  <si>
    <t>Surface cracking / structural cracks</t>
  </si>
  <si>
    <t>Load transfer zones</t>
  </si>
  <si>
    <t>Bearing soils</t>
  </si>
  <si>
    <t>Load transfer zones / foundation-soil interface</t>
  </si>
  <si>
    <t>Sudden settlement</t>
  </si>
  <si>
    <t>Load concentration zones / high stress areas</t>
  </si>
  <si>
    <t>Local collapse</t>
  </si>
  <si>
    <t>Deep foundations</t>
  </si>
  <si>
    <t>Pile foundations</t>
  </si>
  <si>
    <t>Pile shaft</t>
  </si>
  <si>
    <t>Inclined piles</t>
  </si>
  <si>
    <t>Toe / bearing layer</t>
  </si>
  <si>
    <t>Broken piles</t>
  </si>
  <si>
    <t>Pile body integrity / structural continuity</t>
  </si>
  <si>
    <t>Pile cracking / structural failure</t>
  </si>
  <si>
    <t>DEFICIENCY MECHANISM DICTIONARY  (Deficiency Category → Mechanism → Typical Deficiency, by category)</t>
  </si>
  <si>
    <t>Mechanism</t>
  </si>
  <si>
    <t>Atmospheric corrosion (external exposure)</t>
  </si>
  <si>
    <t>Corrosion of exposed steel members (beams, columns)</t>
  </si>
  <si>
    <t>Coating failure / weathering</t>
  </si>
  <si>
    <t>Rusting of cladding, roofing sheets</t>
  </si>
  <si>
    <t>Moisture ingress</t>
  </si>
  <si>
    <t>Corrosion at roof decks and fasteners</t>
  </si>
  <si>
    <t>Thermal movement / expansion</t>
  </si>
  <si>
    <t>Cracking in concrete slabs and walls</t>
  </si>
  <si>
    <t>Shrinkage / aging</t>
  </si>
  <si>
    <t>Surface cracking in concrete</t>
  </si>
  <si>
    <t>Settlement-induced cracking</t>
  </si>
  <si>
    <t>Diagonal cracks in walls</t>
  </si>
  <si>
    <t>Overloading / overstress</t>
  </si>
  <si>
    <t>Sagging roof structures</t>
  </si>
  <si>
    <t>Thermal deformation</t>
  </si>
  <si>
    <t>Warping of cladding panels</t>
  </si>
  <si>
    <t>Impact (vehicles/equipment)</t>
  </si>
  <si>
    <t>Dented wall panels / damaged guardrails</t>
  </si>
  <si>
    <t>Snow loads / ice buildup</t>
  </si>
  <si>
    <t>Roof overstress or collapse risk</t>
  </si>
  <si>
    <t>Wind loads / storms</t>
  </si>
  <si>
    <t>Damaged cladding / roofing</t>
  </si>
  <si>
    <t>Water ingress (rain)</t>
  </si>
  <si>
    <t>Leaks through roof or walls</t>
  </si>
  <si>
    <t>UV degradation</t>
  </si>
  <si>
    <t>Deterioration of coatings / sealants</t>
  </si>
  <si>
    <t>Soil settlement / movement</t>
  </si>
  <si>
    <t>Uneven floors / slab settlement</t>
  </si>
  <si>
    <t>Frost heave</t>
  </si>
  <si>
    <t>Cracking or lifting of slabs</t>
  </si>
  <si>
    <t>Poor drainage</t>
  </si>
  <si>
    <t>Water accumulation under slabs</t>
  </si>
  <si>
    <t>Freeze-thaw cycles</t>
  </si>
  <si>
    <t>Spalling and surface scaling</t>
  </si>
  <si>
    <t>Reinforcement corrosion</t>
  </si>
  <si>
    <t>Exposed rebar in concrete</t>
  </si>
  <si>
    <t>Chemical attack</t>
  </si>
  <si>
    <t>Degraded concrete surfaces</t>
  </si>
  <si>
    <t>Bolt loosening / corrosion</t>
  </si>
  <si>
    <t>Loose handrails / guardrails</t>
  </si>
  <si>
    <t>Anchor failure</t>
  </si>
  <si>
    <t>Missing or weak anchorage</t>
  </si>
  <si>
    <t>Sealant degradation</t>
  </si>
  <si>
    <t>Joint leakage in cladding</t>
  </si>
  <si>
    <t>Poor inspection / maintenance</t>
  </si>
  <si>
    <t>Trip hazards (damaged grating)</t>
  </si>
  <si>
    <t>Missing guardrails or covers</t>
  </si>
  <si>
    <t>Lack of cleaning</t>
  </si>
  <si>
    <t>Debris accumulation</t>
  </si>
  <si>
    <t>Improper removal of structural elements</t>
  </si>
  <si>
    <t>Addition without design review</t>
  </si>
  <si>
    <t>Overloading of platforms or beams</t>
  </si>
  <si>
    <t>Fire exposure</t>
  </si>
  <si>
    <t>Loss of strength in steel members</t>
  </si>
  <si>
    <t>Thermal shock</t>
  </si>
  <si>
    <t>Cracking in concrete surfaces</t>
  </si>
  <si>
    <t>Atmospheric corrosion</t>
  </si>
  <si>
    <t>Corrosion of structural steel supports</t>
  </si>
  <si>
    <t>Water accumulation at baseplates</t>
  </si>
  <si>
    <t>Corrosion at column bases</t>
  </si>
  <si>
    <t>Coating failure</t>
  </si>
  <si>
    <t>Rusted pipe racks / frames</t>
  </si>
  <si>
    <t>Fatigue (cyclic loading)</t>
  </si>
  <si>
    <t>Cracks at welds of supports</t>
  </si>
  <si>
    <t>Stress concentration</t>
  </si>
  <si>
    <t>Cracking at baseplates or connections</t>
  </si>
  <si>
    <t>Overloading</t>
  </si>
  <si>
    <t>Cracks in structural members</t>
  </si>
  <si>
    <t>Overstress / excessive loading</t>
  </si>
  <si>
    <t>Bent pipe supports</t>
  </si>
  <si>
    <t>Equipment-induced vibration</t>
  </si>
  <si>
    <t>Distorted supports / frames</t>
  </si>
  <si>
    <t>Impact (vehicles)</t>
  </si>
  <si>
    <t>Damaged columns or racks</t>
  </si>
  <si>
    <t>Foundation movement</t>
  </si>
  <si>
    <t>Misaligned equipment bases</t>
  </si>
  <si>
    <t>Missing or broken anchor bolts</t>
  </si>
  <si>
    <t>Bolt loosening / creep</t>
  </si>
  <si>
    <t>Loose connections at supports</t>
  </si>
  <si>
    <t>Weld defects</t>
  </si>
  <si>
    <t>Weld failure at beams/joints</t>
  </si>
  <si>
    <t>Differential settlement</t>
  </si>
  <si>
    <t>Misalignment of pumps or equipment</t>
  </si>
  <si>
    <t>Soil movement / erosion</t>
  </si>
  <si>
    <t>Tilted structures</t>
  </si>
  <si>
    <t>Missing / degraded grout</t>
  </si>
  <si>
    <t>Gaps under baseplates</t>
  </si>
  <si>
    <t>Drainage issues</t>
  </si>
  <si>
    <t>Undermining of foundations</t>
  </si>
  <si>
    <t>Spalling at pedestals</t>
  </si>
  <si>
    <t>Degraded concrete bases</t>
  </si>
  <si>
    <t>Freeze-thaw damage</t>
  </si>
  <si>
    <t>Cracked foundations</t>
  </si>
  <si>
    <t>Weather exposure</t>
  </si>
  <si>
    <t>Corrosion due to rain/snow</t>
  </si>
  <si>
    <t>Wind loads</t>
  </si>
  <si>
    <t>Movement or instability of supports</t>
  </si>
  <si>
    <t>Chemical exposure</t>
  </si>
  <si>
    <t>Corrosion from process leaks</t>
  </si>
  <si>
    <t>Poor maintenance</t>
  </si>
  <si>
    <t>Rusted or unmaintained supports</t>
  </si>
  <si>
    <t>Missing braces or bolts</t>
  </si>
  <si>
    <t>Lack of inspection</t>
  </si>
  <si>
    <t>Undetected degradation</t>
  </si>
  <si>
    <t>Altered supports without design review</t>
  </si>
  <si>
    <t>Improper installation</t>
  </si>
  <si>
    <t>Misaligned or undersized supports</t>
  </si>
  <si>
    <t>Weakening of structural steel</t>
  </si>
  <si>
    <t>Thermal expansion stress</t>
  </si>
  <si>
    <t>Distortion of structures</t>
  </si>
  <si>
    <t>Soil consolidation</t>
  </si>
  <si>
    <t>Cracking of slabs/foundations</t>
  </si>
  <si>
    <t>Poor compaction</t>
  </si>
  <si>
    <t>Groundwater fluctuations</t>
  </si>
  <si>
    <t>Soil erosion / loss of support material</t>
  </si>
  <si>
    <t>Water infiltration</t>
  </si>
  <si>
    <t>Lateral soil movement</t>
  </si>
  <si>
    <t>Horizontal displacement of foundation</t>
  </si>
  <si>
    <t>Freeze–thaw cycles</t>
  </si>
  <si>
    <t>Weak bearing soil layer</t>
  </si>
  <si>
    <t>Local bearing failure</t>
  </si>
  <si>
    <t>Misalignment</t>
  </si>
  <si>
    <t>Insufficient penetration</t>
  </si>
  <si>
    <t>Structural defects (pile integrity issues)</t>
  </si>
  <si>
    <t>DeficiencyCategory_List</t>
  </si>
  <si>
    <t>ComponentType_List</t>
  </si>
  <si>
    <t>Priority_List</t>
  </si>
  <si>
    <t>YesNo_List</t>
  </si>
  <si>
    <t>Risk_List</t>
  </si>
  <si>
    <t>Def_CML</t>
  </si>
  <si>
    <t>Mech_CML</t>
  </si>
  <si>
    <t>Def_CND</t>
  </si>
  <si>
    <t>Mech_CND</t>
  </si>
  <si>
    <t>Def_CFI</t>
  </si>
  <si>
    <t>Mech_CFI</t>
  </si>
  <si>
    <t>Def_CRK</t>
  </si>
  <si>
    <t>Mech_CRK</t>
  </si>
  <si>
    <t>Def_DFI</t>
  </si>
  <si>
    <t>Mech_DFI</t>
  </si>
  <si>
    <t>Def_EWF</t>
  </si>
  <si>
    <t>Mech_EWF</t>
  </si>
  <si>
    <t>Def_ENV</t>
  </si>
  <si>
    <t>Mech_ENV</t>
  </si>
  <si>
    <t>Def_FDS</t>
  </si>
  <si>
    <t>Mech_FDS</t>
  </si>
  <si>
    <t>Def_GHK</t>
  </si>
  <si>
    <t>Mech_GHK</t>
  </si>
  <si>
    <t>Def_MSI</t>
  </si>
  <si>
    <t>Mech_MSI</t>
  </si>
  <si>
    <t>Def_THR</t>
  </si>
  <si>
    <t>Mech_THR</t>
  </si>
  <si>
    <t>Def_SIE</t>
  </si>
  <si>
    <t>Mech_SIE</t>
  </si>
  <si>
    <t>Def_FH</t>
  </si>
  <si>
    <t>Mech_FH</t>
  </si>
  <si>
    <t>Def_BCF</t>
  </si>
  <si>
    <t>Mech_BCF</t>
  </si>
  <si>
    <t>Def_PF</t>
  </si>
  <si>
    <t>Mech_PF</t>
  </si>
  <si>
    <t>Focus_CML</t>
  </si>
  <si>
    <t>Focus_CND</t>
  </si>
  <si>
    <t>Focus_CFI</t>
  </si>
  <si>
    <t>Focus_CRK</t>
  </si>
  <si>
    <t>Focus_DFI</t>
  </si>
  <si>
    <t>Focus_EWF</t>
  </si>
  <si>
    <t>Focus_ENV</t>
  </si>
  <si>
    <t>Focus_FDS</t>
  </si>
  <si>
    <t>Focus_GHK</t>
  </si>
  <si>
    <t>Focus_MSI</t>
  </si>
  <si>
    <t>Focus_THR</t>
  </si>
  <si>
    <t>Focus_SIE</t>
  </si>
  <si>
    <t>Focus_FH</t>
  </si>
  <si>
    <t>Focus_BCF</t>
  </si>
  <si>
    <t>Focus_PF</t>
  </si>
  <si>
    <t>Sub_Roofing</t>
  </si>
  <si>
    <t>Sub_BuildingStructure</t>
  </si>
  <si>
    <t>Sub_StorageTank</t>
  </si>
  <si>
    <t>Sub_FloorPlate</t>
  </si>
  <si>
    <t>Sub_Grating</t>
  </si>
  <si>
    <t>Sub_ConcreteFloor</t>
  </si>
  <si>
    <t>Sub_FoundationPier</t>
  </si>
  <si>
    <t>Sub_AccessLadder</t>
  </si>
  <si>
    <t>Sub_ConfinedSpace</t>
  </si>
  <si>
    <t>Sub_Column</t>
  </si>
  <si>
    <t>Sub_Stairway</t>
  </si>
  <si>
    <t>Sub_CableTray</t>
  </si>
  <si>
    <t>Sub_Platform</t>
  </si>
  <si>
    <t>Sub_CatwalksWalkways</t>
  </si>
  <si>
    <t>Sub_HandrailsGuardrails</t>
  </si>
  <si>
    <t>Sub_FixedLaddersCages</t>
  </si>
  <si>
    <t>Sub_WallCladding</t>
  </si>
  <si>
    <t>Sub_CableTraySupport</t>
  </si>
  <si>
    <t>Sub_PipeSupport</t>
  </si>
  <si>
    <t>Sub_PumpSupport</t>
  </si>
  <si>
    <t>Sub_Beams</t>
  </si>
  <si>
    <t>Sub_Bracing</t>
  </si>
  <si>
    <t>Sub_RoofMountedUnit</t>
  </si>
  <si>
    <t>Sub_ClarifierTank</t>
  </si>
  <si>
    <t>Sub_LimeSilo</t>
  </si>
  <si>
    <t>Sub_Others</t>
  </si>
  <si>
    <t>Membrane / sealant degradation</t>
  </si>
  <si>
    <t>Flashing / joint failure</t>
  </si>
  <si>
    <t>Low</t>
  </si>
  <si>
    <t>Weathering / UV degradation</t>
  </si>
  <si>
    <t>Concrete Floor</t>
  </si>
  <si>
    <t>Beams</t>
  </si>
  <si>
    <t>https://nerizonltd-my.sharepoint.com/personal/aaraoye_nerizon_ca/Documents/NACS/NER-GC%20Doc/Structural%20Integrity/Inspection/Inspection%20Photos/INSP_20260703140812_5_e1e86a9f-7b09-40df-96a9-ca2ca4468d61.png</t>
  </si>
  <si>
    <t>Process Equipment (Mechanical)</t>
  </si>
  <si>
    <t>Equipment directly involved in operations</t>
  </si>
  <si>
    <t>Piping systems</t>
  </si>
  <si>
    <t>Carbon Steel / SS / FRP</t>
  </si>
  <si>
    <t>Pressure boundary</t>
  </si>
  <si>
    <t>General corrosion (wall thinning)</t>
  </si>
  <si>
    <t>General corrosion (uniform wall loss)</t>
  </si>
  <si>
    <t>Wall thinning (below minimum thickness)</t>
  </si>
  <si>
    <t>Localized corrosion zones</t>
  </si>
  <si>
    <t>Localized corrosion (pitting, crevice)</t>
  </si>
  <si>
    <t xml:space="preserve">Localized corrosion (pitting, crevice) </t>
  </si>
  <si>
    <t>Pitting corrosion</t>
  </si>
  <si>
    <t>High stress zones</t>
  </si>
  <si>
    <t>Insulated lines</t>
  </si>
  <si>
    <t>Corrosion under insulation (CUI)</t>
  </si>
  <si>
    <t>Grooving at flow areas</t>
  </si>
  <si>
    <t>Pressure containment</t>
  </si>
  <si>
    <t>High velocity zones (elbows/reducers)</t>
  </si>
  <si>
    <t>FLW - Flow-Induced Damage</t>
  </si>
  <si>
    <t>Erosion / erosion-corrosion at elbows</t>
  </si>
  <si>
    <t>Erosion / erosion-corrosion</t>
  </si>
  <si>
    <t>External CUI damage</t>
  </si>
  <si>
    <t>Connections</t>
  </si>
  <si>
    <t>Vibration-prone sections</t>
  </si>
  <si>
    <t>Flow-induced vibration cracking</t>
  </si>
  <si>
    <t>MIC (microbiologically influenced corrosion)</t>
  </si>
  <si>
    <t>Internal corrosion at bottoms (tanks, vessels)</t>
  </si>
  <si>
    <t>High temperature zones</t>
  </si>
  <si>
    <t>Dead legs / low-flow zones</t>
  </si>
  <si>
    <t>Dead-leg corrosion</t>
  </si>
  <si>
    <t>Dead-leg corrosion (stagnant zones</t>
  </si>
  <si>
    <t>Storage tanks</t>
  </si>
  <si>
    <t>Cone roof / floating roof</t>
  </si>
  <si>
    <t>Tank bottom / liquid interface</t>
  </si>
  <si>
    <t>Bottom plate corrosion (internal)</t>
  </si>
  <si>
    <t>Stress Corrosion Cracking (SCC)</t>
  </si>
  <si>
    <t>Surface cracks (longitudinal / transverse)</t>
  </si>
  <si>
    <t>Shell plates</t>
  </si>
  <si>
    <t>Shell corrosion (external/internal)</t>
  </si>
  <si>
    <t>Hydrogen-induced cracking (HIC)</t>
  </si>
  <si>
    <t>Weld HAZ cracking</t>
  </si>
  <si>
    <t>Roof structure</t>
  </si>
  <si>
    <t>Settlement-induced distortion</t>
  </si>
  <si>
    <t>Sulfide stress cracking (SSC)</t>
  </si>
  <si>
    <t>Cracking at nozzles or attachments</t>
  </si>
  <si>
    <t>Tank foundation interface</t>
  </si>
  <si>
    <t>Roof deformation / corrosion</t>
  </si>
  <si>
    <t>Thermal fatigue cracking</t>
  </si>
  <si>
    <t>Cracks at vibration points</t>
  </si>
  <si>
    <t>Nozzles / connections</t>
  </si>
  <si>
    <t>Leakage at nozzles or shell joints</t>
  </si>
  <si>
    <t>Mechanical fatigue (cyclic service)</t>
  </si>
  <si>
    <t>Brittle fracture indicators (low temperature)</t>
  </si>
  <si>
    <t>Pressure vessels</t>
  </si>
  <si>
    <t>Horizontal / vertical</t>
  </si>
  <si>
    <t>Overpressure / overstress</t>
  </si>
  <si>
    <t>Bulging or distortion of vessel shell</t>
  </si>
  <si>
    <t>Welds / HAZ zones</t>
  </si>
  <si>
    <t>Stress corrosion cracking (SCC)</t>
  </si>
  <si>
    <t>External loads (wind, settlement)</t>
  </si>
  <si>
    <t>Dented piping or vessels</t>
  </si>
  <si>
    <t>Internal damage zones</t>
  </si>
  <si>
    <t>Hydrogen damage / HIC</t>
  </si>
  <si>
    <t>Impact damage</t>
  </si>
  <si>
    <t>Misalignment of piping</t>
  </si>
  <si>
    <t>Thermal stress areas</t>
  </si>
  <si>
    <t>Vibration-induced fatigue</t>
  </si>
  <si>
    <t>Sagging lines</t>
  </si>
  <si>
    <t>Bulging / deformation</t>
  </si>
  <si>
    <t>Ovalization of tanks</t>
  </si>
  <si>
    <t>Silos (lime, chemical storage)</t>
  </si>
  <si>
    <t>Cone bottom</t>
  </si>
  <si>
    <t>Discharge zone</t>
  </si>
  <si>
    <t>Abrasion / erosion at discharge</t>
  </si>
  <si>
    <t>Bolt relaxation / creep</t>
  </si>
  <si>
    <t xml:space="preserve">Flange leakage </t>
  </si>
  <si>
    <t>Internal surfaces</t>
  </si>
  <si>
    <t>OPR - Operational &amp; Process-Related Damage</t>
  </si>
  <si>
    <t>Build-up / fouling</t>
  </si>
  <si>
    <t>Gasket degradation</t>
  </si>
  <si>
    <t>Loose or missing bolts</t>
  </si>
  <si>
    <t>Clarifiers / thickeners</t>
  </si>
  <si>
    <t>Circular / rectangular</t>
  </si>
  <si>
    <t>Structural components</t>
  </si>
  <si>
    <t>Corrosion of structural components</t>
  </si>
  <si>
    <t>Weld defects (in-service)</t>
  </si>
  <si>
    <t>Damaged gaskets</t>
  </si>
  <si>
    <t>Mechanical assemblies</t>
  </si>
  <si>
    <t>Mechanical wear (rakes, arms)</t>
  </si>
  <si>
    <t>Weld discontinuities</t>
  </si>
  <si>
    <t>Pumps</t>
  </si>
  <si>
    <t>Centrifugal / positive displacement</t>
  </si>
  <si>
    <t>Seal / packing area</t>
  </si>
  <si>
    <t>LOC - Leakage / Loss of Containment</t>
  </si>
  <si>
    <t>Seal leakage</t>
  </si>
  <si>
    <t>Thread connection failure</t>
  </si>
  <si>
    <t>Rotating elements</t>
  </si>
  <si>
    <t>Vibration-induced damage</t>
  </si>
  <si>
    <t>THR - File &amp; Thermal Damage</t>
  </si>
  <si>
    <t>Overheating</t>
  </si>
  <si>
    <t>Material discoloration (overheating)</t>
  </si>
  <si>
    <t>Alignment / coupling</t>
  </si>
  <si>
    <t>Thermal cycling</t>
  </si>
  <si>
    <t>Warping</t>
  </si>
  <si>
    <t>Hydraulic zones (impeller)</t>
  </si>
  <si>
    <t>Cavitation damage</t>
  </si>
  <si>
    <t>Fire damage (loss of strength)</t>
  </si>
  <si>
    <t>Refractory/liner degradation</t>
  </si>
  <si>
    <t>Insulation degradation</t>
  </si>
  <si>
    <t>Refractory cracking</t>
  </si>
  <si>
    <t>Erosion from high velocity</t>
  </si>
  <si>
    <t>Local thinning at elbows</t>
  </si>
  <si>
    <t>Cavitation</t>
  </si>
  <si>
    <t>Erosion at reducers</t>
  </si>
  <si>
    <t>Turbulence at injection points</t>
  </si>
  <si>
    <t>Cavitation pitting</t>
  </si>
  <si>
    <t>Two-phase flow damage</t>
  </si>
  <si>
    <t>Damage downstream of injection points</t>
  </si>
  <si>
    <t>Marine/salt exposure</t>
  </si>
  <si>
    <t>External rusting</t>
  </si>
  <si>
    <t>UV degradation (coatings, FRP)</t>
  </si>
  <si>
    <t>Corrosion at supports / saddles</t>
  </si>
  <si>
    <t>UV cracking (FRP piping)</t>
  </si>
  <si>
    <t xml:space="preserve">Incorrect operating envelope (IOW excursions) </t>
  </si>
  <si>
    <t>Fouling buildup in piping/vessels</t>
  </si>
  <si>
    <t>Chemical incompatibility</t>
  </si>
  <si>
    <t>Blockages</t>
  </si>
  <si>
    <t>Fouling / scaling</t>
  </si>
  <si>
    <t>Unexpected corrosion rates</t>
  </si>
  <si>
    <t>Deposits at low-flow areas</t>
  </si>
  <si>
    <t>Pressure boundary failure</t>
  </si>
  <si>
    <t>Active leaks (flanges, valves, welds)</t>
  </si>
  <si>
    <t>Seal degradation</t>
  </si>
  <si>
    <t>Seepage marks</t>
  </si>
  <si>
    <t>Crack propagation</t>
  </si>
  <si>
    <t>Product staining</t>
  </si>
  <si>
    <t>Pressure boundary breach</t>
  </si>
  <si>
    <t xml:space="preserve">MAT - Fabrication / Material Issues </t>
  </si>
  <si>
    <t>Wrong material installed</t>
  </si>
  <si>
    <t>Material mismatch (PMI failure)</t>
  </si>
  <si>
    <t>Heat-affected zone weakness</t>
  </si>
  <si>
    <t>Lamination defects</t>
  </si>
  <si>
    <t>Poor weld quality</t>
  </si>
  <si>
    <t>Weld defects (lack of fusion, porosity)</t>
  </si>
  <si>
    <t>Improper repairs</t>
  </si>
  <si>
    <t>Weeping/sweating/ or small leaks</t>
  </si>
  <si>
    <t>Blistering, bulging, or deformation</t>
  </si>
  <si>
    <t>Rust staining or corrosion product around the joint</t>
  </si>
  <si>
    <t>Flaking, spalling, or loss of protective oxide layer</t>
  </si>
  <si>
    <t>Material Selection</t>
  </si>
  <si>
    <t>Cracks near welds or high-stress areas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</si>
</sst>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;\-#,##0;;@"/>
  </numFmts>
  <fonts count="28" x14ac:knownFonts="1">
    <font>
      <sz val="11"/>
      <color theme="1"/>
      <name val="Aptos Narrow"/>
      <family val="2"/>
      <scheme val="minor"/>
    </font>
    <font>
      <b/>
      <sz val="12"/>
      <color rgb="FFFFFFFF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1"/>
      <color rgb="FFFFFFFF"/>
      <name val="Aptos Display"/>
      <family val="2"/>
      <scheme val="major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name val="Calibri"/>
      <family val="2"/>
    </font>
    <font>
      <b/>
      <sz val="11"/>
      <color theme="1"/>
      <name val="Aptos Narrow"/>
      <family val="2"/>
      <scheme val="minor"/>
    </font>
    <font>
      <b/>
      <sz val="16"/>
      <color rgb="FFFFFFFF"/>
      <name val="Calibri"/>
    </font>
    <font>
      <i/>
      <sz val="10"/>
      <color rgb="FF5A5A5A"/>
      <name val="Aptos Narrow"/>
      <family val="2"/>
      <scheme val="minor"/>
    </font>
    <font>
      <b/>
      <sz val="9"/>
      <color rgb="FF5A5A5A"/>
      <name val="Aptos Narrow"/>
      <family val="2"/>
      <scheme val="minor"/>
    </font>
    <font>
      <b/>
      <sz val="22"/>
      <color rgb="FF1F4E5F"/>
      <name val="Aptos Narrow"/>
      <family val="2"/>
      <scheme val="minor"/>
    </font>
    <font>
      <b/>
      <sz val="22"/>
      <color rgb="FFC000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8000"/>
      <name val="Aptos Narrow"/>
      <family val="2"/>
      <scheme val="minor"/>
    </font>
    <font>
      <b/>
      <sz val="11"/>
      <color rgb="FF008000"/>
      <name val="Aptos Narrow"/>
      <family val="2"/>
      <scheme val="minor"/>
    </font>
    <font>
      <sz val="10"/>
      <color rgb="FF008000"/>
      <name val="Aptos Narrow"/>
      <family val="2"/>
      <scheme val="minor"/>
    </font>
    <font>
      <sz val="8"/>
      <color rgb="FFAAAAAA"/>
      <name val="Aptos Narrow"/>
      <family val="2"/>
      <scheme val="minor"/>
    </font>
    <font>
      <sz val="9"/>
      <color rgb="FFAAAAAA"/>
      <name val="Aptos Narrow"/>
      <family val="2"/>
      <scheme val="minor"/>
    </font>
    <font>
      <b/>
      <sz val="10"/>
      <color rgb="FF664D03"/>
      <name val="Aptos Narrow"/>
      <family val="2"/>
      <scheme val="minor"/>
    </font>
    <font>
      <sz val="11"/>
      <color theme="1"/>
      <name val="Calibri"/>
    </font>
    <font>
      <i/>
      <sz val="11"/>
      <color rgb="FF5A5A5A"/>
      <name val="Calibri"/>
    </font>
    <font>
      <b/>
      <sz val="12"/>
      <color rgb="FF1F4E5F"/>
      <name val="Calibri"/>
    </font>
    <font>
      <sz val="11"/>
      <color rgb="FF222222"/>
      <name val="Calibri"/>
    </font>
    <font>
      <i/>
      <sz val="10.5"/>
      <color rgb="FF664D03"/>
      <name val="Calibri"/>
    </font>
    <font>
      <b/>
      <sz val="12"/>
      <color rgb="FF1F4E78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FF0000"/>
      <name val="Aptos Display"/>
      <family val="2"/>
      <scheme val="major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1F4E5F"/>
        <bgColor indexed="64"/>
      </patternFill>
    </fill>
    <fill>
      <patternFill patternType="solid">
        <fgColor rgb="FF2E5A6B"/>
        <bgColor indexed="64"/>
      </patternFill>
    </fill>
    <fill>
      <patternFill patternType="solid">
        <fgColor rgb="FFEAF1F4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3CD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BBBBB"/>
      </top>
      <bottom/>
      <diagonal/>
    </border>
    <border>
      <left/>
      <right/>
      <top/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/>
      <diagonal/>
    </border>
    <border>
      <left style="thin">
        <color rgb="FFBBBBBB"/>
      </left>
      <right/>
      <top/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/>
      <diagonal/>
    </border>
    <border>
      <left/>
      <right style="thin">
        <color rgb="FFBBBBBB"/>
      </right>
      <top/>
      <bottom style="thin">
        <color rgb="FFBBBBBB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1F4E5F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14" fontId="2" fillId="0" borderId="0" xfId="0" applyNumberFormat="1" applyFont="1"/>
    <xf numFmtId="14" fontId="3" fillId="2" borderId="0" xfId="0" applyNumberFormat="1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wrapText="1"/>
    </xf>
    <xf numFmtId="0" fontId="0" fillId="3" borderId="0" xfId="0" applyFill="1"/>
    <xf numFmtId="0" fontId="5" fillId="4" borderId="0" xfId="0" applyFont="1" applyFill="1" applyAlignment="1">
      <alignment vertical="center"/>
    </xf>
    <xf numFmtId="0" fontId="5" fillId="4" borderId="0" xfId="0" applyFont="1" applyFill="1" applyAlignment="1">
      <alignment vertical="center" wrapText="1"/>
    </xf>
    <xf numFmtId="0" fontId="6" fillId="4" borderId="0" xfId="0" applyFont="1" applyFill="1" applyAlignment="1">
      <alignment horizontal="center" vertical="center" wrapText="1"/>
    </xf>
    <xf numFmtId="0" fontId="7" fillId="5" borderId="0" xfId="0" applyFont="1" applyFill="1"/>
    <xf numFmtId="0" fontId="2" fillId="0" borderId="0" xfId="0" applyFont="1" applyProtection="1">
      <protection locked="0"/>
    </xf>
    <xf numFmtId="14" fontId="2" fillId="0" borderId="0" xfId="0" applyNumberFormat="1" applyFont="1" applyProtection="1">
      <protection locked="0"/>
    </xf>
    <xf numFmtId="0" fontId="17" fillId="0" borderId="0" xfId="0" applyFont="1"/>
    <xf numFmtId="0" fontId="18" fillId="0" borderId="0" xfId="0" applyFont="1"/>
    <xf numFmtId="0" fontId="13" fillId="7" borderId="8" xfId="0" applyFont="1" applyFill="1" applyBorder="1"/>
    <xf numFmtId="0" fontId="13" fillId="7" borderId="8" xfId="0" applyFont="1" applyFill="1" applyBorder="1" applyAlignment="1">
      <alignment horizontal="center"/>
    </xf>
    <xf numFmtId="0" fontId="14" fillId="0" borderId="8" xfId="0" applyFont="1" applyBorder="1"/>
    <xf numFmtId="0" fontId="0" fillId="0" borderId="8" xfId="0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7" fillId="8" borderId="8" xfId="0" applyFont="1" applyFill="1" applyBorder="1"/>
    <xf numFmtId="0" fontId="7" fillId="8" borderId="8" xfId="0" applyFont="1" applyFill="1" applyBorder="1" applyAlignment="1">
      <alignment horizontal="center"/>
    </xf>
    <xf numFmtId="164" fontId="7" fillId="8" borderId="8" xfId="0" applyNumberFormat="1" applyFont="1" applyFill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0" fillId="0" borderId="8" xfId="0" applyBorder="1"/>
    <xf numFmtId="0" fontId="16" fillId="0" borderId="8" xfId="0" applyFont="1" applyBorder="1" applyAlignment="1">
      <alignment wrapText="1"/>
    </xf>
    <xf numFmtId="165" fontId="2" fillId="0" borderId="0" xfId="0" applyNumberFormat="1" applyFont="1"/>
    <xf numFmtId="0" fontId="3" fillId="6" borderId="0" xfId="0" applyFont="1" applyFill="1" applyAlignment="1">
      <alignment horizontal="center" vertical="center" wrapText="1"/>
    </xf>
    <xf numFmtId="14" fontId="3" fillId="6" borderId="0" xfId="0" applyNumberFormat="1" applyFont="1" applyFill="1" applyAlignment="1">
      <alignment horizontal="center" vertical="center" wrapText="1"/>
    </xf>
    <xf numFmtId="0" fontId="3" fillId="9" borderId="0" xfId="0" applyFont="1" applyFill="1" applyAlignment="1">
      <alignment horizontal="center" vertical="center" wrapText="1"/>
    </xf>
    <xf numFmtId="0" fontId="20" fillId="0" borderId="0" xfId="0" applyFont="1" applyAlignment="1">
      <alignment vertical="top" wrapText="1"/>
    </xf>
    <xf numFmtId="0" fontId="8" fillId="6" borderId="0" xfId="0" applyFont="1" applyFill="1" applyAlignment="1">
      <alignment vertical="center" wrapText="1"/>
    </xf>
    <xf numFmtId="0" fontId="21" fillId="0" borderId="0" xfId="0" applyFont="1" applyAlignment="1">
      <alignment vertical="top" wrapText="1"/>
    </xf>
    <xf numFmtId="0" fontId="22" fillId="0" borderId="9" xfId="0" applyFont="1" applyBorder="1" applyAlignment="1">
      <alignment vertical="top" wrapText="1"/>
    </xf>
    <xf numFmtId="0" fontId="23" fillId="0" borderId="0" xfId="0" applyFont="1" applyAlignment="1">
      <alignment vertical="top" wrapText="1"/>
    </xf>
    <xf numFmtId="0" fontId="24" fillId="10" borderId="0" xfId="0" applyFont="1" applyFill="1" applyAlignment="1">
      <alignment vertical="top" wrapText="1"/>
    </xf>
    <xf numFmtId="0" fontId="25" fillId="0" borderId="0" xfId="0" applyFont="1"/>
    <xf numFmtId="0" fontId="0" fillId="0" borderId="10" xfId="0" applyBorder="1" applyAlignment="1">
      <alignment horizontal="left" vertical="center"/>
    </xf>
    <xf numFmtId="0" fontId="26" fillId="0" borderId="0" xfId="0" applyFont="1"/>
    <xf numFmtId="0" fontId="27" fillId="0" borderId="0" xfId="0" applyFont="1"/>
    <xf numFmtId="0" fontId="1" fillId="2" borderId="0" xfId="0" applyFont="1" applyFill="1" applyAlignment="1">
      <alignment horizontal="center" vertical="center" wrapText="1"/>
    </xf>
    <xf numFmtId="0" fontId="19" fillId="10" borderId="0" xfId="0" applyFont="1" applyFill="1" applyAlignment="1">
      <alignment horizontal="left" vertical="center"/>
    </xf>
    <xf numFmtId="0" fontId="10" fillId="8" borderId="4" xfId="0" applyFont="1" applyFill="1" applyBorder="1" applyAlignment="1">
      <alignment horizontal="center"/>
    </xf>
    <xf numFmtId="0" fontId="10" fillId="8" borderId="6" xfId="0" applyFont="1" applyFill="1" applyBorder="1" applyAlignment="1">
      <alignment horizontal="center"/>
    </xf>
    <xf numFmtId="0" fontId="11" fillId="8" borderId="5" xfId="0" applyFont="1" applyFill="1" applyBorder="1" applyAlignment="1">
      <alignment horizontal="center"/>
    </xf>
    <xf numFmtId="0" fontId="11" fillId="8" borderId="7" xfId="0" applyFont="1" applyFill="1" applyBorder="1" applyAlignment="1">
      <alignment horizontal="center"/>
    </xf>
    <xf numFmtId="0" fontId="8" fillId="6" borderId="0" xfId="0" applyFont="1" applyFill="1" applyAlignment="1">
      <alignment horizontal="left"/>
    </xf>
    <xf numFmtId="0" fontId="9" fillId="0" borderId="0" xfId="0" applyFont="1"/>
    <xf numFmtId="0" fontId="10" fillId="8" borderId="2" xfId="0" applyFont="1" applyFill="1" applyBorder="1" applyAlignment="1">
      <alignment horizontal="center"/>
    </xf>
    <xf numFmtId="0" fontId="11" fillId="8" borderId="3" xfId="0" applyFont="1" applyFill="1" applyBorder="1" applyAlignment="1">
      <alignment horizontal="center"/>
    </xf>
    <xf numFmtId="0" fontId="12" fillId="8" borderId="5" xfId="0" applyFont="1" applyFill="1" applyBorder="1" applyAlignment="1">
      <alignment horizontal="center"/>
    </xf>
    <xf numFmtId="0" fontId="12" fillId="8" borderId="3" xfId="0" applyFont="1" applyFill="1" applyBorder="1" applyAlignment="1">
      <alignment horizontal="center"/>
    </xf>
    <xf numFmtId="0" fontId="0" fillId="0" borderId="11" xfId="0" applyFont="1" applyBorder="1" applyAlignment="1">
      <alignment wrapText="1"/>
    </xf>
    <xf numFmtId="0" fontId="0" fillId="0" borderId="12" xfId="0" applyFont="1" applyBorder="1" applyAlignment="1">
      <alignment wrapText="1"/>
    </xf>
    <xf numFmtId="0" fontId="0" fillId="0" borderId="0" xfId="0" applyBorder="1" applyAlignment="1">
      <alignment wrapText="1"/>
    </xf>
  </cellXfs>
  <cellStyles count="1">
    <cellStyle name="Normal" xfId="0" builtinId="0"/>
  </cellStyles>
  <dxfs count="64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19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Display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0" formatCode="General"/>
      <protection locked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19" formatCode="yyyy/mm/dd"/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0" formatCode="General"/>
      <protection locked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0" formatCode="General"/>
      <protection locked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0" formatCode="General"/>
      <protection locked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0" formatCode="General"/>
      <protection locked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0" formatCode="General"/>
      <protection locked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0" formatCode="General"/>
      <protection locked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0" formatCode="General"/>
      <protection locked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protection locked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Display"/>
        <family val="2"/>
        <scheme val="major"/>
      </font>
      <fill>
        <patternFill patternType="solid">
          <fgColor indexed="64"/>
          <bgColor rgb="FF1F4E5F"/>
        </patternFill>
      </fill>
      <alignment horizontal="center" vertical="center" wrapText="1"/>
      <protection locked="1"/>
    </dxf>
    <dxf>
      <font>
        <strike val="0"/>
        <outline val="0"/>
        <shadow val="0"/>
        <u val="none"/>
        <vertAlign val="baseline"/>
        <name val="Aptos Display"/>
        <family val="2"/>
        <scheme val="major"/>
      </font>
    </dxf>
    <dxf>
      <font>
        <strike val="0"/>
        <outline val="0"/>
        <shadow val="0"/>
        <u val="none"/>
        <vertAlign val="baseline"/>
        <name val="Aptos Display"/>
        <family val="2"/>
        <scheme val="major"/>
      </font>
    </dxf>
    <dxf>
      <font>
        <strike val="0"/>
        <outline val="0"/>
        <shadow val="0"/>
        <u val="none"/>
        <vertAlign val="baseline"/>
        <name val="Aptos Display"/>
        <family val="2"/>
        <scheme val="major"/>
      </font>
    </dxf>
    <dxf>
      <font>
        <strike val="0"/>
        <outline val="0"/>
        <shadow val="0"/>
        <u val="none"/>
        <vertAlign val="baseline"/>
        <name val="Aptos Display"/>
        <family val="2"/>
        <scheme val="major"/>
      </font>
    </dxf>
    <dxf>
      <font>
        <strike val="0"/>
        <outline val="0"/>
        <shadow val="0"/>
        <u val="none"/>
        <vertAlign val="baseline"/>
        <name val="Aptos Display"/>
        <family val="2"/>
        <scheme val="major"/>
      </font>
    </dxf>
    <dxf>
      <font>
        <strike val="0"/>
        <outline val="0"/>
        <shadow val="0"/>
        <u val="none"/>
        <vertAlign val="baseline"/>
        <name val="Aptos Display"/>
        <family val="2"/>
        <scheme val="major"/>
      </font>
    </dxf>
    <dxf>
      <font>
        <strike val="0"/>
        <outline val="0"/>
        <shadow val="0"/>
        <u val="none"/>
        <vertAlign val="baseline"/>
        <name val="Aptos Display"/>
        <family val="2"/>
        <scheme val="major"/>
      </font>
    </dxf>
    <dxf>
      <font>
        <strike val="0"/>
        <outline val="0"/>
        <shadow val="0"/>
        <u val="none"/>
        <vertAlign val="baseline"/>
        <name val="Aptos Display"/>
        <family val="2"/>
        <scheme val="major"/>
      </font>
    </dxf>
    <dxf>
      <font>
        <strike val="0"/>
        <outline val="0"/>
        <shadow val="0"/>
        <u val="none"/>
        <vertAlign val="baseline"/>
        <name val="Aptos Display"/>
        <family val="2"/>
        <scheme val="major"/>
      </font>
    </dxf>
    <dxf>
      <font>
        <strike val="0"/>
        <outline val="0"/>
        <shadow val="0"/>
        <u val="none"/>
        <vertAlign val="baseline"/>
        <name val="Aptos Display"/>
        <family val="2"/>
        <scheme val="major"/>
      </font>
    </dxf>
    <dxf>
      <font>
        <strike val="0"/>
        <outline val="0"/>
        <shadow val="0"/>
        <u val="none"/>
        <vertAlign val="baseline"/>
        <name val="Aptos Display"/>
        <family val="2"/>
        <scheme val="maj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Display"/>
        <family val="2"/>
        <scheme val="major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Deficiencies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'Site Summary'!$B$8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2E5A6B"/>
            </a:solidFill>
            <a:ln>
              <a:noFill/>
            </a:ln>
            <a:effectLst/>
          </c:spPr>
          <c:invertIfNegative val="0"/>
          <c:cat>
            <c:strRef>
              <c:f>'Site Summary'!$A$9:$A$23</c:f>
              <c:strCache>
                <c:ptCount val="15"/>
                <c:pt idx="0">
                  <c:v>CML - Corrosion &amp; Material Loss</c:v>
                </c:pt>
                <c:pt idx="1">
                  <c:v>CND - Concrete Deterioration</c:v>
                </c:pt>
                <c:pt idx="2">
                  <c:v>CFI - Connection &amp; Joint Failures</c:v>
                </c:pt>
                <c:pt idx="3">
                  <c:v>CRK - Cracking Mechanisms</c:v>
                </c:pt>
                <c:pt idx="4">
                  <c:v>DFI - Deformation &amp; Mechanical Damage</c:v>
                </c:pt>
                <c:pt idx="5">
                  <c:v>EWF - Envelope Failure</c:v>
                </c:pt>
                <c:pt idx="6">
                  <c:v>ENV - Environmental &amp; External Damage</c:v>
                </c:pt>
                <c:pt idx="7">
                  <c:v>FDS - Foundation &amp; Settlement</c:v>
                </c:pt>
                <c:pt idx="8">
                  <c:v>GHK - General Housekeeping &amp; Maintenance</c:v>
                </c:pt>
                <c:pt idx="9">
                  <c:v>MSI - Modification &amp; Structural Integrity</c:v>
                </c:pt>
                <c:pt idx="10">
                  <c:v>THR - Fire &amp; Thermal Damage</c:v>
                </c:pt>
                <c:pt idx="11">
                  <c:v>SIE - Soil Instability &amp; Erosion</c:v>
                </c:pt>
                <c:pt idx="12">
                  <c:v>FH - Frost Heave</c:v>
                </c:pt>
                <c:pt idx="13">
                  <c:v>BCF - Bearing Capacity Failure</c:v>
                </c:pt>
                <c:pt idx="14">
                  <c:v>PF - Pile Foundations</c:v>
                </c:pt>
              </c:strCache>
            </c:strRef>
          </c:cat>
          <c:val>
            <c:numRef>
              <c:f>'Site Summary'!$B$9:$B$23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D6-434E-9A5B-F16A85AC1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21294463"/>
        <c:axId val="321297823"/>
      </c:barChart>
      <c:catAx>
        <c:axId val="321294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297823"/>
        <c:crosses val="autoZero"/>
        <c:auto val="1"/>
        <c:lblAlgn val="ctr"/>
        <c:lblOffset val="100"/>
        <c:noMultiLvlLbl val="0"/>
      </c:catAx>
      <c:valAx>
        <c:axId val="32129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294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Deficiencies by Priority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'Site Summary'!$F$8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2E5A6B"/>
            </a:solidFill>
            <a:ln>
              <a:noFill/>
            </a:ln>
            <a:effectLst/>
          </c:spPr>
          <c:invertIfNegative val="0"/>
          <c:cat>
            <c:strRef>
              <c:f>'Site Summary'!$E$9:$E$13</c:f>
              <c:strCache>
                <c:ptCount val="5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</c:strCache>
            </c:strRef>
          </c:cat>
          <c:val>
            <c:numRef>
              <c:f>'Site Summary'!$F$9:$F$13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AB-455B-9D07-8D8326B23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6839631"/>
        <c:axId val="1356842511"/>
      </c:barChart>
      <c:catAx>
        <c:axId val="1356839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842511"/>
        <c:crosses val="autoZero"/>
        <c:auto val="1"/>
        <c:lblAlgn val="ctr"/>
        <c:lblOffset val="100"/>
        <c:noMultiLvlLbl val="0"/>
      </c:catAx>
      <c:valAx>
        <c:axId val="1356842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839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Deficiencies by Site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'Site Summary'!$F$16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2E5A6B"/>
            </a:solidFill>
            <a:ln>
              <a:noFill/>
            </a:ln>
            <a:effectLst/>
          </c:spPr>
          <c:invertIfNegative val="0"/>
          <c:cat>
            <c:strRef>
              <c:f>'Site Summary'!$E$17:$E$26</c:f>
              <c:strCache>
                <c:ptCount val="10"/>
                <c:pt idx="0">
                  <c:v>Bell Mine</c:v>
                </c:pt>
                <c:pt idx="1">
                  <c:v>Blackbird Mine</c:v>
                </c:pt>
                <c:pt idx="2">
                  <c:v>Brenda Mine</c:v>
                </c:pt>
                <c:pt idx="3">
                  <c:v>Brunswick Mine</c:v>
                </c:pt>
                <c:pt idx="4">
                  <c:v>Geco/Wilroy Mine</c:v>
                </c:pt>
                <c:pt idx="5">
                  <c:v>Grey Eagle Mine</c:v>
                </c:pt>
                <c:pt idx="6">
                  <c:v>Heath Steele Mine</c:v>
                </c:pt>
                <c:pt idx="7">
                  <c:v>Matagami Mine</c:v>
                </c:pt>
                <c:pt idx="8">
                  <c:v>Mattabi Mine</c:v>
                </c:pt>
                <c:pt idx="9">
                  <c:v>Montcalm Mine</c:v>
                </c:pt>
              </c:strCache>
            </c:strRef>
          </c:cat>
          <c:val>
            <c:numRef>
              <c:f>'Site Summary'!$F$17:$F$26</c:f>
              <c:numCache>
                <c:formatCode>General</c:formatCode>
                <c:ptCount val="10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03-4C46-BD38-BFE7EBD5A5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71891119"/>
        <c:axId val="1871889679"/>
      </c:barChart>
      <c:catAx>
        <c:axId val="1871891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889679"/>
        <c:crosses val="autoZero"/>
        <c:auto val="1"/>
        <c:lblAlgn val="ctr"/>
        <c:lblOffset val="100"/>
        <c:noMultiLvlLbl val="0"/>
      </c:catAx>
      <c:valAx>
        <c:axId val="1871889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891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Findings by Risk 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'Site Summary'!$I$33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2E5A6B"/>
            </a:solidFill>
            <a:ln>
              <a:noFill/>
            </a:ln>
            <a:effectLst/>
          </c:spPr>
          <c:invertIfNegative val="0"/>
          <c:cat>
            <c:strRef>
              <c:f>'Site Summary'!$H$34:$H$36</c:f>
              <c:strCache>
                <c:ptCount val="3"/>
                <c:pt idx="0">
                  <c:v>High Risk (17-25)</c:v>
                </c:pt>
                <c:pt idx="1">
                  <c:v>Medium Risk (7-16)</c:v>
                </c:pt>
                <c:pt idx="2">
                  <c:v>Low Risk (1-6)</c:v>
                </c:pt>
              </c:strCache>
            </c:strRef>
          </c:cat>
          <c:val>
            <c:numRef>
              <c:f>'Site Summary'!$I$34:$I$36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AB-455B-9D07-8D8326B23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6839631"/>
        <c:axId val="1356842511"/>
      </c:barChart>
      <c:catAx>
        <c:axId val="1356839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842511"/>
        <c:crosses val="autoZero"/>
        <c:auto val="1"/>
        <c:lblAlgn val="ctr"/>
        <c:lblOffset val="100"/>
        <c:noMultiLvlLbl val="0"/>
      </c:catAx>
      <c:valAx>
        <c:axId val="1356842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839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30</xdr:row>
      <xdr:rowOff>0</xdr:rowOff>
    </xdr:from>
    <xdr:to>
      <xdr:col>6</xdr:col>
      <xdr:colOff>0</xdr:colOff>
      <xdr:row>52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0793E1-E660-0CC5-679A-DD4476FD8B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30</xdr:row>
      <xdr:rowOff>0</xdr:rowOff>
    </xdr:from>
    <xdr:to>
      <xdr:col>11</xdr:col>
      <xdr:colOff>0</xdr:colOff>
      <xdr:row>45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7278B0-94C4-EBF8-2EC7-7EB02FD147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45</xdr:row>
      <xdr:rowOff>0</xdr:rowOff>
    </xdr:from>
    <xdr:to>
      <xdr:col>11</xdr:col>
      <xdr:colOff>0</xdr:colOff>
      <xdr:row>61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4AEED17-DA88-A0AF-5CD9-E8141E714E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63</xdr:row>
      <xdr:rowOff>0</xdr:rowOff>
    </xdr:from>
    <xdr:to>
      <xdr:col>11</xdr:col>
      <xdr:colOff>0</xdr:colOff>
      <xdr:row>79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4AEED17-DA88-A0AF-5CD9-E8141E714E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B3A363-FB52-44C1-8737-E6DB5E0E71AF}" name="Table1" displayName="Table1" ref="A3:J151" totalsRowShown="0" headerRowDxfId="63" dataDxfId="62">
  <autoFilter ref="A3:J151" xr:uid="{05B3A363-FB52-44C1-8737-E6DB5E0E71AF}"/>
  <tableColumns count="10">
    <tableColumn id="1" xr3:uid="{B0C17A1D-9864-4DB9-88EC-505C15EDABB2}" name="Site" dataDxfId="61"/>
    <tableColumn id="2" xr3:uid="{362A6933-2EC8-4F87-A39E-28181EFC8CF5}" name="Parent Asset" dataDxfId="60"/>
    <tableColumn id="10" xr3:uid="{17B5C091-04A3-4EB6-9232-0FF7FBE31F67}" name="Asset ID" dataDxfId="59"/>
    <tableColumn id="3" xr3:uid="{4AC59523-9EA5-45F4-A267-9F1C0A58F2B1}" name="Category" dataDxfId="58"/>
    <tableColumn id="4" xr3:uid="{388448E4-A02A-4F94-B854-E30048CAFAD6}" name="Component" dataDxfId="57"/>
    <tableColumn id="5" xr3:uid="{5795DACF-9F5E-428F-BD3D-66819620AF81}" name="Location Description" dataDxfId="56"/>
    <tableColumn id="6" xr3:uid="{312C3653-58DB-42BD-98D9-4A6CF208D3C7}" name="Access Notes" dataDxfId="55"/>
    <tableColumn id="7" xr3:uid="{6EDB3756-020B-4E64-8EBB-823286A6636B}" name="In Scope" dataDxfId="54"/>
    <tableColumn id="8" xr3:uid="{BE474493-4A99-4495-9002-FDDFE58510D4}" name="Last Inspection Date" dataDxfId="53"/>
    <tableColumn id="9" xr3:uid="{A53DF92B-95E2-4CAA-882A-ADDCDC2F3193}" name="Comments" dataDxfId="5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DED4821-2CBF-498E-B187-FB5A8208D9F5}" name="Table3" displayName="Table3" ref="A3:AB1000" totalsRowShown="0" headerRowDxfId="51" dataDxfId="50">
  <autoFilter ref="A3:AB1000" xr:uid="{FDED4821-2CBF-498E-B187-FB5A8208D9F5}"/>
  <tableColumns count="28">
    <tableColumn id="1" xr3:uid="{EA1DCA86-ABD3-4F42-A4B2-641B4AA24DD4}" name="Record ID" dataDxfId="49"/>
    <tableColumn id="2" xr3:uid="{298BCECA-C7D1-41C4-8BF7-9782DCDCD3B2}" name="Site" dataDxfId="48"/>
    <tableColumn id="33" xr3:uid="{7BC7B804-8F67-41C9-A458-AAF94E7F84B7}" name="Asset ID" dataDxfId="47"/>
    <tableColumn id="3" xr3:uid="{168CDA68-BCE8-4852-8485-D0C2110F706F}" name="Parent Asset" dataDxfId="46"/>
    <tableColumn id="4" xr3:uid="{BD74E257-4A7D-4638-9575-BF5B3C961D96}" name="Category" dataDxfId="45"/>
    <tableColumn id="5" xr3:uid="{7EC258D0-33DF-4C3C-8A11-581313F12C18}" name="Component" dataDxfId="44"/>
    <tableColumn id="6" xr3:uid="{3D39804C-7A27-449C-B3BF-D85DAA0F16D5}" name="Location Description" dataDxfId="43"/>
    <tableColumn id="7" xr3:uid="{7B074B1D-358A-467B-AE2E-2F1C8115BA0D}" name="Inspection Date" dataDxfId="42"/>
    <tableColumn id="8" xr3:uid="{88352F5D-E567-4762-A3E4-73D021F4FD21}" name="Inspector Name" dataDxfId="41"/>
    <tableColumn id="10" xr3:uid="{57BD00A5-3A60-4996-9115-05C08BCAE45D}" name="PPE Requirements Met" dataDxfId="40"/>
    <tableColumn id="11" xr3:uid="{4C2CFE57-4DDA-4B46-8A70-F50D0616212B}" name="Component Type" dataDxfId="39"/>
    <tableColumn id="22" xr3:uid="{3739224C-75F5-4898-AB24-FE7AE9A176ED}" name="Sub-Component" dataDxfId="38"/>
    <tableColumn id="12" xr3:uid="{622F43C4-8C71-47E7-835F-41C14FC5B10A}" name="Deficiency Category" dataDxfId="37"/>
    <tableColumn id="13" xr3:uid="{A7E057C4-C367-4426-8A35-5D207367F5B3}" name="Detailed Description" dataDxfId="36"/>
    <tableColumn id="14" xr3:uid="{260801E3-457A-4E3A-BC07-92B72CB0D856}" name="Mechanisms" dataDxfId="35"/>
    <tableColumn id="15" xr3:uid="{D0138718-D37C-4AE6-B9EC-59F34F9AE709}" name="Vibration Present" dataDxfId="34"/>
    <tableColumn id="16" xr3:uid="{2810E03B-A706-4734-AE89-8B3D79287C07}" name="Consequence Severity" dataDxfId="33"/>
    <tableColumn id="17" xr3:uid="{30D80584-631A-474C-BA66-CFC9F2F9724B}" name="Most-Affected Consequence" dataDxfId="32"/>
    <tableColumn id="18" xr3:uid="{B06812A2-A45E-423C-8270-273B3743E0F8}" name="Priority Rating" dataDxfId="31"/>
    <tableColumn id="19" xr3:uid="{78E098B5-8AB0-4FD7-BD42-82880D9A4AF9}" name="Priority Description" dataDxfId="30"/>
    <tableColumn id="20" xr3:uid="{5CBC085C-DB7F-4EC9-9417-45547144BD9C}" name="Recommended Action" dataDxfId="29"/>
    <tableColumn id="21" xr3:uid="{F08BF0EB-3AFB-4979-8559-8DE971CE75D0}" name="Immediate Site Notification" dataDxfId="28"/>
    <tableColumn id="23" xr3:uid="{7D2D0CEB-6359-4D0A-AB6B-3FBDFB224053}" name="Further Investigation Required" dataDxfId="27"/>
    <tableColumn id="24" xr3:uid="{54553FE4-88BD-4DF2-B96D-EBC257DFA9FE}" name="NDT Required" dataDxfId="26"/>
    <tableColumn id="9" xr3:uid="{0E8D5DF2-6A7C-42C9-A117-57CAEC053ED3}" name="Focus Area" dataDxfId="25"/>
    <tableColumn id="34" xr3:uid="{00000000-0010-0000-0100-000022000000}" name="Likelihood"/>
    <tableColumn id="35" xr3:uid="{00000000-0010-0000-0100-000023000000}" name="Risk Rank"/>
    <tableColumn id="36" xr3:uid="{00000000-0010-0000-0100-000024000000}" name="Risk Rati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19CA0A9-1029-4086-9B03-C9ADC8B0A758}" name="Table38" displayName="Table38" ref="A3:H1000" totalsRowShown="0" headerRowDxfId="24" dataDxfId="23">
  <autoFilter ref="A3:H1000" xr:uid="{FDED4821-2CBF-498E-B187-FB5A8208D9F5}"/>
  <tableColumns count="8">
    <tableColumn id="1" xr3:uid="{6A4F6C7F-15BC-409D-B35B-63B3994DD0C3}" name="Record ID" dataDxfId="22"/>
    <tableColumn id="2" xr3:uid="{A4DCC717-6C54-4843-9A5A-9E4898768D2C}" name="Site" dataDxfId="21"/>
    <tableColumn id="33" xr3:uid="{5864A5AC-B8D3-47C9-A587-D7A87C90166B}" name="Asset ID" dataDxfId="20"/>
    <tableColumn id="3" xr3:uid="{45AF25B9-1CD1-4491-8C44-5E61405D5CBB}" name="Parent Asset" dataDxfId="19"/>
    <tableColumn id="7" xr3:uid="{064DC91C-CB9C-4F62-A422-FB86917DCD78}" name="Date Taken" dataDxfId="18"/>
    <tableColumn id="8" xr3:uid="{3E628C5E-E263-438A-8D61-0CBBB6A20005}" name="Inspector Name" dataDxfId="17"/>
    <tableColumn id="13" xr3:uid="{1DDA0B11-5275-464D-8B2B-24E806B12012}" name="Photo Description" dataDxfId="16"/>
    <tableColumn id="17" xr3:uid="{5DB525D6-5407-4CD5-9AC8-871B0F493116}" name="File Path / Hyperlink" dataDxfId="1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B7317EB-F017-4EA5-AF41-01EAD547479D}" name="AssetTaxonomy" displayName="AssetTaxonomy" ref="A2:G93" totalsRowShown="0" headerRowDxfId="14" dataDxfId="13">
  <autoFilter ref="A2:G93" xr:uid="{7B7317EB-F017-4EA5-AF41-01EAD547479D}"/>
  <tableColumns count="7">
    <tableColumn id="1" xr3:uid="{5DFB9C67-439B-4B7A-A8A6-0DCF61D568DE}" name="Category" dataDxfId="12"/>
    <tableColumn id="2" xr3:uid="{7299CC66-1836-4EC3-9667-24EBDBC0F3F8}" name="Scope" dataDxfId="11"/>
    <tableColumn id="3" xr3:uid="{033AF417-3591-4EB9-BA70-938D2EDF7B16}" name="Component" dataDxfId="10"/>
    <tableColumn id="4" xr3:uid="{4066FCC5-F589-4CCF-A548-956E4695666C}" name="Sub-component" dataDxfId="9"/>
    <tableColumn id="5" xr3:uid="{175A3CC2-4179-4C23-A753-D043619D5AE3}" name="Focus Area" dataDxfId="8"/>
    <tableColumn id="6" xr3:uid="{FBCEE104-A9D3-4C05-868D-D7A83BC0A558}" name="Deficiency Category" dataDxfId="7"/>
    <tableColumn id="7" xr3:uid="{E6D453AC-85DA-49B7-9372-519AB34E7768}" name="Indications" dataDxfId="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183C926-CA98-494B-89BE-AE2DCD85FBA7}" name="DeficiencyMechanisms" displayName="DeficiencyMechanisms" ref="A97:D218" totalsRowShown="0" headerRowDxfId="5" dataDxfId="4">
  <autoFilter ref="A97:D218" xr:uid="{7183C926-CA98-494B-89BE-AE2DCD85FBA7}"/>
  <tableColumns count="4">
    <tableColumn id="1" xr3:uid="{D20D994B-1DEB-4C5E-BDE4-9683E5EC6D37}" name="Category" dataDxfId="3"/>
    <tableColumn id="2" xr3:uid="{2685A8D2-138A-48E8-A0AF-ED0F85DA739A}" name="Deficiency Category" dataDxfId="2"/>
    <tableColumn id="3" xr3:uid="{3E5B41DB-8598-4178-819E-EB9FEE7C91D8}" name="Mechanism" dataDxfId="1"/>
    <tableColumn id="4" xr3:uid="{74A73836-E0CD-4E10-A307-A407E8DA8B80}" name="Indications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1C8442F-AC8C-4305-962B-BCBAD6B8D3D2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b53e402f-e671-4469-b76e-34f98c9e5b5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FBE82-3419-42C6-ACCB-1AE268411A11}">
  <dimension ref="B1:B30"/>
  <sheetViews>
    <sheetView showGridLines="0" workbookViewId="0"/>
  </sheetViews>
  <sheetFormatPr defaultRowHeight="14.5" x14ac:dyDescent="0.35"/>
  <cols>
    <col min="1" max="1" width="2.54296875" customWidth="1"/>
    <col min="2" max="2" width="116.453125" customWidth="1"/>
  </cols>
  <sheetData>
    <row r="1" spans="2:2" ht="21" x14ac:dyDescent="0.35">
      <c r="B1" s="32" t="s">
        <v>0</v>
      </c>
    </row>
    <row r="2" spans="2:2" x14ac:dyDescent="0.35">
      <c r="B2" s="33" t="s">
        <v>1</v>
      </c>
    </row>
    <row r="3" spans="2:2" x14ac:dyDescent="0.35">
      <c r="B3" s="31"/>
    </row>
    <row r="4" spans="2:2" ht="15.5" x14ac:dyDescent="0.35">
      <c r="B4" s="34" t="s">
        <v>2</v>
      </c>
    </row>
    <row r="5" spans="2:2" ht="29" x14ac:dyDescent="0.35">
      <c r="B5" s="35" t="s">
        <v>3</v>
      </c>
    </row>
    <row r="6" spans="2:2" x14ac:dyDescent="0.35">
      <c r="B6" s="31"/>
    </row>
    <row r="7" spans="2:2" ht="15.5" x14ac:dyDescent="0.35">
      <c r="B7" s="34" t="s">
        <v>4</v>
      </c>
    </row>
    <row r="8" spans="2:2" ht="29" x14ac:dyDescent="0.35">
      <c r="B8" s="35" t="s">
        <v>5</v>
      </c>
    </row>
    <row r="9" spans="2:2" x14ac:dyDescent="0.35">
      <c r="B9" s="35" t="s">
        <v>6</v>
      </c>
    </row>
    <row r="10" spans="2:2" x14ac:dyDescent="0.35">
      <c r="B10" s="35" t="s">
        <v>7</v>
      </c>
    </row>
    <row r="11" spans="2:2" x14ac:dyDescent="0.35">
      <c r="B11" s="35" t="s">
        <v>8</v>
      </c>
    </row>
    <row r="12" spans="2:2" x14ac:dyDescent="0.35">
      <c r="B12" s="35" t="s">
        <v>9</v>
      </c>
    </row>
    <row r="13" spans="2:2" x14ac:dyDescent="0.35">
      <c r="B13" s="35" t="s">
        <v>10</v>
      </c>
    </row>
    <row r="14" spans="2:2" x14ac:dyDescent="0.35">
      <c r="B14" s="35" t="s">
        <v>11</v>
      </c>
    </row>
    <row r="15" spans="2:2" x14ac:dyDescent="0.35">
      <c r="B15" s="35" t="s">
        <v>12</v>
      </c>
    </row>
    <row r="16" spans="2:2" x14ac:dyDescent="0.35">
      <c r="B16" s="35" t="s">
        <v>13</v>
      </c>
    </row>
    <row r="17" spans="2:2" x14ac:dyDescent="0.35">
      <c r="B17" s="31"/>
    </row>
    <row r="18" spans="2:2" ht="15.5" x14ac:dyDescent="0.35">
      <c r="B18" s="34" t="s">
        <v>14</v>
      </c>
    </row>
    <row r="19" spans="2:2" ht="29" x14ac:dyDescent="0.35">
      <c r="B19" s="35" t="s">
        <v>15</v>
      </c>
    </row>
    <row r="20" spans="2:2" x14ac:dyDescent="0.35">
      <c r="B20" s="31"/>
    </row>
    <row r="21" spans="2:2" ht="15.5" x14ac:dyDescent="0.35">
      <c r="B21" s="34" t="s">
        <v>16</v>
      </c>
    </row>
    <row r="22" spans="2:2" x14ac:dyDescent="0.35">
      <c r="B22" s="35" t="s">
        <v>17</v>
      </c>
    </row>
    <row r="23" spans="2:2" x14ac:dyDescent="0.35">
      <c r="B23" s="31"/>
    </row>
    <row r="24" spans="2:2" ht="15.5" x14ac:dyDescent="0.35">
      <c r="B24" s="34" t="s">
        <v>18</v>
      </c>
    </row>
    <row r="25" spans="2:2" ht="29" x14ac:dyDescent="0.35">
      <c r="B25" s="35" t="s">
        <v>19</v>
      </c>
    </row>
    <row r="26" spans="2:2" x14ac:dyDescent="0.35">
      <c r="B26" s="31"/>
    </row>
    <row r="27" spans="2:2" ht="15.5" x14ac:dyDescent="0.35">
      <c r="B27" s="34" t="s">
        <v>20</v>
      </c>
    </row>
    <row r="28" spans="2:2" ht="29" x14ac:dyDescent="0.35">
      <c r="B28" s="35" t="s">
        <v>21</v>
      </c>
    </row>
    <row r="29" spans="2:2" x14ac:dyDescent="0.35">
      <c r="B29" s="31"/>
    </row>
    <row r="30" spans="2:2" x14ac:dyDescent="0.35">
      <c r="B30" s="36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7E3CC-1254-43ED-9DBB-5B72971921D0}">
  <sheetPr>
    <tabColor theme="4"/>
  </sheetPr>
  <dimension ref="A1:J161"/>
  <sheetViews>
    <sheetView workbookViewId="0">
      <selection activeCell="F4" sqref="F4"/>
    </sheetView>
  </sheetViews>
  <sheetFormatPr defaultColWidth="8.81640625" defaultRowHeight="14.5" x14ac:dyDescent="0.35"/>
  <cols>
    <col min="1" max="1" width="19.453125" style="1" customWidth="1"/>
    <col min="2" max="2" width="50.81640625" style="1" bestFit="1" customWidth="1"/>
    <col min="3" max="3" width="16.81640625" style="1" customWidth="1"/>
    <col min="4" max="10" width="25.54296875" style="1" customWidth="1"/>
    <col min="11" max="16384" width="8.81640625" style="1"/>
  </cols>
  <sheetData>
    <row r="1" spans="1:10" ht="16" x14ac:dyDescent="0.35">
      <c r="A1" s="41" t="s">
        <v>23</v>
      </c>
      <c r="B1" s="41"/>
      <c r="C1" s="41"/>
      <c r="D1" s="41"/>
      <c r="E1" s="41"/>
      <c r="F1" s="41"/>
      <c r="G1" s="41"/>
      <c r="H1" s="41"/>
      <c r="I1" s="41"/>
      <c r="J1" s="41"/>
    </row>
    <row r="3" spans="1:10" x14ac:dyDescent="0.35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</row>
    <row r="4" spans="1:10" x14ac:dyDescent="0.35">
      <c r="A4" s="1" t="s">
        <v>34</v>
      </c>
      <c r="B4" s="1" t="s">
        <v>35</v>
      </c>
      <c r="C4" s="1" t="s">
        <v>36</v>
      </c>
    </row>
    <row r="5" spans="1:10" x14ac:dyDescent="0.35">
      <c r="A5" s="1" t="s">
        <v>34</v>
      </c>
      <c r="B5" s="1" t="s">
        <v>80</v>
      </c>
      <c r="C5" s="1" t="s">
        <v>36</v>
      </c>
    </row>
    <row r="41" spans="1:3" x14ac:dyDescent="0.35">
      <c r="B41" s="40"/>
    </row>
    <row r="43" spans="1:3" x14ac:dyDescent="0.35">
      <c r="B43" s="40"/>
    </row>
    <row r="48" spans="1:3" x14ac:dyDescent="0.35">
      <c r="A48"/>
      <c r="B48"/>
      <c r="C48"/>
    </row>
    <row r="49" spans="1:3" x14ac:dyDescent="0.35">
      <c r="A49"/>
      <c r="B49"/>
      <c r="C49"/>
    </row>
    <row r="50" spans="1:3" x14ac:dyDescent="0.35">
      <c r="A50"/>
      <c r="B50"/>
      <c r="C50"/>
    </row>
    <row r="51" spans="1:3" x14ac:dyDescent="0.35">
      <c r="A51"/>
      <c r="B51"/>
      <c r="C51"/>
    </row>
    <row r="52" spans="1:3" x14ac:dyDescent="0.35">
      <c r="A52"/>
      <c r="B52"/>
      <c r="C52"/>
    </row>
    <row r="53" spans="1:3" x14ac:dyDescent="0.35">
      <c r="A53"/>
      <c r="B53"/>
      <c r="C53"/>
    </row>
    <row r="54" spans="1:3" x14ac:dyDescent="0.35">
      <c r="A54"/>
      <c r="B54"/>
      <c r="C54"/>
    </row>
    <row r="55" spans="1:3" x14ac:dyDescent="0.35">
      <c r="A55"/>
      <c r="B55"/>
      <c r="C55"/>
    </row>
    <row r="56" spans="1:3" x14ac:dyDescent="0.35">
      <c r="A56"/>
      <c r="B56"/>
      <c r="C56"/>
    </row>
    <row r="57" spans="1:3" x14ac:dyDescent="0.35">
      <c r="A57"/>
      <c r="B57"/>
      <c r="C57"/>
    </row>
    <row r="58" spans="1:3" x14ac:dyDescent="0.35">
      <c r="A58"/>
      <c r="B58"/>
      <c r="C58"/>
    </row>
    <row r="59" spans="1:3" x14ac:dyDescent="0.35">
      <c r="A59"/>
      <c r="B59"/>
      <c r="C59"/>
    </row>
    <row r="60" spans="1:3" x14ac:dyDescent="0.35">
      <c r="A60"/>
      <c r="B60"/>
      <c r="C60"/>
    </row>
    <row r="61" spans="1:3" x14ac:dyDescent="0.35">
      <c r="A61"/>
      <c r="B61"/>
      <c r="C61"/>
    </row>
    <row r="62" spans="1:3" x14ac:dyDescent="0.35">
      <c r="A62"/>
      <c r="B62"/>
      <c r="C62"/>
    </row>
    <row r="63" spans="1:3" x14ac:dyDescent="0.35">
      <c r="A63"/>
      <c r="B63"/>
      <c r="C63"/>
    </row>
    <row r="64" spans="1:3" x14ac:dyDescent="0.35">
      <c r="A64"/>
      <c r="B64"/>
      <c r="C64"/>
    </row>
    <row r="65" spans="1:3" x14ac:dyDescent="0.35">
      <c r="A65"/>
      <c r="B65"/>
      <c r="C65"/>
    </row>
    <row r="66" spans="1:3" x14ac:dyDescent="0.35">
      <c r="A66"/>
      <c r="B66"/>
      <c r="C66"/>
    </row>
    <row r="67" spans="1:3" x14ac:dyDescent="0.35">
      <c r="A67"/>
      <c r="B67"/>
      <c r="C67"/>
    </row>
    <row r="68" spans="1:3" x14ac:dyDescent="0.35">
      <c r="A68"/>
      <c r="B68"/>
      <c r="C68"/>
    </row>
    <row r="69" spans="1:3" x14ac:dyDescent="0.35">
      <c r="A69"/>
      <c r="B69"/>
      <c r="C69"/>
    </row>
    <row r="70" spans="1:3" x14ac:dyDescent="0.35">
      <c r="A70"/>
      <c r="B70"/>
      <c r="C70"/>
    </row>
    <row r="71" spans="1:3" x14ac:dyDescent="0.35">
      <c r="A71"/>
      <c r="B71"/>
      <c r="C71"/>
    </row>
    <row r="72" spans="1:3" x14ac:dyDescent="0.35">
      <c r="A72"/>
      <c r="B72"/>
      <c r="C72"/>
    </row>
    <row r="73" spans="1:3" x14ac:dyDescent="0.35">
      <c r="A73"/>
      <c r="B73"/>
      <c r="C73"/>
    </row>
    <row r="74" spans="1:3" x14ac:dyDescent="0.35">
      <c r="A74"/>
      <c r="B74"/>
      <c r="C74"/>
    </row>
    <row r="75" spans="1:3" x14ac:dyDescent="0.35">
      <c r="A75"/>
      <c r="B75"/>
      <c r="C75"/>
    </row>
    <row r="76" spans="1:3" x14ac:dyDescent="0.35">
      <c r="A76"/>
      <c r="B76"/>
      <c r="C76"/>
    </row>
    <row r="77" spans="1:3" x14ac:dyDescent="0.35">
      <c r="A77"/>
      <c r="B77"/>
      <c r="C77"/>
    </row>
    <row r="78" spans="1:3" x14ac:dyDescent="0.35">
      <c r="A78"/>
      <c r="B78"/>
      <c r="C78"/>
    </row>
    <row r="79" spans="1:3" x14ac:dyDescent="0.35">
      <c r="A79"/>
      <c r="B79"/>
      <c r="C79"/>
    </row>
    <row r="80" spans="1:3" x14ac:dyDescent="0.35">
      <c r="A80"/>
      <c r="B80"/>
      <c r="C80"/>
    </row>
    <row r="81" spans="1:3" x14ac:dyDescent="0.35">
      <c r="A81"/>
      <c r="B81"/>
      <c r="C81"/>
    </row>
    <row r="82" spans="1:3" x14ac:dyDescent="0.35">
      <c r="A82"/>
      <c r="B82"/>
      <c r="C82"/>
    </row>
    <row r="83" spans="1:3" x14ac:dyDescent="0.35">
      <c r="A83"/>
      <c r="B83"/>
      <c r="C83"/>
    </row>
    <row r="84" spans="1:3" x14ac:dyDescent="0.35">
      <c r="A84"/>
      <c r="B84"/>
      <c r="C84"/>
    </row>
    <row r="85" spans="1:3" x14ac:dyDescent="0.35">
      <c r="A85"/>
      <c r="B85"/>
      <c r="C85"/>
    </row>
    <row r="86" spans="1:3" x14ac:dyDescent="0.35">
      <c r="A86"/>
      <c r="B86"/>
      <c r="C86"/>
    </row>
    <row r="87" spans="1:3" x14ac:dyDescent="0.35">
      <c r="A87"/>
      <c r="B87"/>
      <c r="C87"/>
    </row>
    <row r="88" spans="1:3" x14ac:dyDescent="0.35">
      <c r="A88"/>
      <c r="B88"/>
      <c r="C88"/>
    </row>
    <row r="89" spans="1:3" x14ac:dyDescent="0.35">
      <c r="A89"/>
      <c r="B89"/>
      <c r="C89"/>
    </row>
    <row r="90" spans="1:3" x14ac:dyDescent="0.35">
      <c r="A90"/>
      <c r="B90"/>
      <c r="C90"/>
    </row>
    <row r="91" spans="1:3" x14ac:dyDescent="0.35">
      <c r="A91"/>
      <c r="B91"/>
      <c r="C91"/>
    </row>
    <row r="92" spans="1:3" x14ac:dyDescent="0.35">
      <c r="A92"/>
      <c r="B92"/>
      <c r="C92"/>
    </row>
    <row r="93" spans="1:3" x14ac:dyDescent="0.35">
      <c r="A93"/>
      <c r="B93"/>
      <c r="C93"/>
    </row>
    <row r="94" spans="1:3" x14ac:dyDescent="0.35">
      <c r="A94"/>
      <c r="B94"/>
      <c r="C94"/>
    </row>
    <row r="95" spans="1:3" x14ac:dyDescent="0.35">
      <c r="A95"/>
      <c r="B95"/>
      <c r="C95"/>
    </row>
    <row r="96" spans="1:3" x14ac:dyDescent="0.35">
      <c r="A96"/>
      <c r="B96"/>
      <c r="C96"/>
    </row>
    <row r="97" spans="1:3" x14ac:dyDescent="0.35">
      <c r="A97"/>
      <c r="B97"/>
      <c r="C97"/>
    </row>
    <row r="98" spans="1:3" x14ac:dyDescent="0.35">
      <c r="A98"/>
      <c r="B98"/>
      <c r="C98"/>
    </row>
    <row r="99" spans="1:3" x14ac:dyDescent="0.35">
      <c r="A99"/>
      <c r="B99"/>
      <c r="C99"/>
    </row>
    <row r="100" spans="1:3" x14ac:dyDescent="0.35">
      <c r="A100"/>
      <c r="B100"/>
      <c r="C100"/>
    </row>
    <row r="101" spans="1:3" x14ac:dyDescent="0.35">
      <c r="A101"/>
      <c r="B101"/>
      <c r="C101"/>
    </row>
    <row r="102" spans="1:3" x14ac:dyDescent="0.35">
      <c r="A102"/>
      <c r="B102"/>
      <c r="C102"/>
    </row>
    <row r="103" spans="1:3" x14ac:dyDescent="0.35">
      <c r="A103"/>
      <c r="B103"/>
      <c r="C103"/>
    </row>
    <row r="104" spans="1:3" x14ac:dyDescent="0.35">
      <c r="A104"/>
      <c r="B104"/>
      <c r="C104"/>
    </row>
    <row r="105" spans="1:3" x14ac:dyDescent="0.35">
      <c r="A105"/>
      <c r="B105"/>
      <c r="C105"/>
    </row>
    <row r="106" spans="1:3" x14ac:dyDescent="0.35">
      <c r="A106"/>
      <c r="B106"/>
      <c r="C106"/>
    </row>
    <row r="107" spans="1:3" x14ac:dyDescent="0.35">
      <c r="A107"/>
      <c r="B107"/>
      <c r="C107"/>
    </row>
    <row r="108" spans="1:3" x14ac:dyDescent="0.35">
      <c r="A108"/>
      <c r="B108"/>
      <c r="C108"/>
    </row>
    <row r="109" spans="1:3" x14ac:dyDescent="0.35">
      <c r="A109"/>
      <c r="B109"/>
      <c r="C109"/>
    </row>
    <row r="110" spans="1:3" x14ac:dyDescent="0.35">
      <c r="A110"/>
      <c r="B110"/>
      <c r="C110"/>
    </row>
    <row r="111" spans="1:3" x14ac:dyDescent="0.35">
      <c r="A111"/>
      <c r="B111"/>
      <c r="C111"/>
    </row>
    <row r="112" spans="1:3" x14ac:dyDescent="0.35">
      <c r="A112"/>
      <c r="B112"/>
      <c r="C112"/>
    </row>
    <row r="113" spans="1:3" x14ac:dyDescent="0.35">
      <c r="A113"/>
      <c r="B113"/>
      <c r="C113"/>
    </row>
    <row r="114" spans="1:3" x14ac:dyDescent="0.35">
      <c r="A114"/>
      <c r="B114"/>
      <c r="C114"/>
    </row>
    <row r="115" spans="1:3" x14ac:dyDescent="0.35">
      <c r="A115"/>
      <c r="B115"/>
      <c r="C115"/>
    </row>
    <row r="116" spans="1:3" x14ac:dyDescent="0.35">
      <c r="A116"/>
      <c r="B116"/>
      <c r="C116"/>
    </row>
    <row r="117" spans="1:3" x14ac:dyDescent="0.35">
      <c r="A117"/>
      <c r="B117"/>
      <c r="C117"/>
    </row>
    <row r="118" spans="1:3" x14ac:dyDescent="0.35">
      <c r="A118"/>
      <c r="B118"/>
      <c r="C118"/>
    </row>
    <row r="119" spans="1:3" x14ac:dyDescent="0.35">
      <c r="A119"/>
      <c r="B119"/>
      <c r="C119"/>
    </row>
    <row r="120" spans="1:3" x14ac:dyDescent="0.35">
      <c r="A120"/>
      <c r="B120"/>
      <c r="C120"/>
    </row>
    <row r="121" spans="1:3" x14ac:dyDescent="0.35">
      <c r="A121"/>
      <c r="B121"/>
      <c r="C121"/>
    </row>
    <row r="122" spans="1:3" x14ac:dyDescent="0.35">
      <c r="A122"/>
      <c r="B122"/>
      <c r="C122"/>
    </row>
    <row r="123" spans="1:3" x14ac:dyDescent="0.35">
      <c r="A123"/>
      <c r="B123"/>
      <c r="C123"/>
    </row>
    <row r="124" spans="1:3" x14ac:dyDescent="0.35">
      <c r="A124"/>
      <c r="B124"/>
      <c r="C124"/>
    </row>
    <row r="125" spans="1:3" x14ac:dyDescent="0.35">
      <c r="A125"/>
      <c r="B125"/>
      <c r="C125"/>
    </row>
    <row r="126" spans="1:3" x14ac:dyDescent="0.35">
      <c r="A126"/>
      <c r="B126"/>
      <c r="C126"/>
    </row>
    <row r="127" spans="1:3" x14ac:dyDescent="0.35">
      <c r="A127"/>
      <c r="B127"/>
      <c r="C127"/>
    </row>
    <row r="128" spans="1:3" x14ac:dyDescent="0.35">
      <c r="A128"/>
      <c r="B128"/>
      <c r="C128"/>
    </row>
    <row r="129" spans="1:3" x14ac:dyDescent="0.35">
      <c r="A129"/>
      <c r="B129"/>
      <c r="C129"/>
    </row>
    <row r="130" spans="1:3" x14ac:dyDescent="0.35">
      <c r="A130"/>
      <c r="B130"/>
      <c r="C130"/>
    </row>
    <row r="131" spans="1:3" x14ac:dyDescent="0.35">
      <c r="A131"/>
      <c r="B131"/>
      <c r="C131"/>
    </row>
    <row r="132" spans="1:3" x14ac:dyDescent="0.35">
      <c r="A132"/>
      <c r="B132"/>
      <c r="C132"/>
    </row>
    <row r="133" spans="1:3" x14ac:dyDescent="0.35">
      <c r="A133"/>
      <c r="B133"/>
      <c r="C133"/>
    </row>
    <row r="134" spans="1:3" x14ac:dyDescent="0.35">
      <c r="A134"/>
      <c r="B134"/>
      <c r="C134"/>
    </row>
    <row r="135" spans="1:3" x14ac:dyDescent="0.35">
      <c r="A135"/>
      <c r="B135"/>
      <c r="C135"/>
    </row>
    <row r="136" spans="1:3" x14ac:dyDescent="0.35">
      <c r="A136"/>
      <c r="B136"/>
      <c r="C136"/>
    </row>
    <row r="137" spans="1:3" x14ac:dyDescent="0.35">
      <c r="A137"/>
      <c r="B137"/>
      <c r="C137"/>
    </row>
    <row r="138" spans="1:3" x14ac:dyDescent="0.35">
      <c r="A138"/>
      <c r="B138"/>
      <c r="C138"/>
    </row>
    <row r="139" spans="1:3" x14ac:dyDescent="0.35">
      <c r="A139"/>
      <c r="B139"/>
      <c r="C139"/>
    </row>
    <row r="140" spans="1:3" x14ac:dyDescent="0.35">
      <c r="A140"/>
      <c r="B140"/>
      <c r="C140"/>
    </row>
    <row r="141" spans="1:3" x14ac:dyDescent="0.35">
      <c r="A141"/>
      <c r="B141"/>
      <c r="C141"/>
    </row>
    <row r="142" spans="1:3" x14ac:dyDescent="0.35">
      <c r="A142"/>
      <c r="B142"/>
      <c r="C142"/>
    </row>
    <row r="143" spans="1:3" x14ac:dyDescent="0.35">
      <c r="A143"/>
      <c r="B143"/>
      <c r="C143"/>
    </row>
    <row r="144" spans="1:3" x14ac:dyDescent="0.35">
      <c r="A144"/>
      <c r="B144"/>
      <c r="C144"/>
    </row>
    <row r="145" spans="1:3" x14ac:dyDescent="0.35">
      <c r="A145"/>
      <c r="B145"/>
      <c r="C145"/>
    </row>
    <row r="146" spans="1:3" x14ac:dyDescent="0.35">
      <c r="A146"/>
      <c r="B146"/>
      <c r="C146"/>
    </row>
    <row r="147" spans="1:3" x14ac:dyDescent="0.35">
      <c r="A147"/>
      <c r="B147"/>
      <c r="C147"/>
    </row>
    <row r="148" spans="1:3" x14ac:dyDescent="0.35">
      <c r="A148"/>
      <c r="B148"/>
      <c r="C148"/>
    </row>
    <row r="149" spans="1:3" x14ac:dyDescent="0.35">
      <c r="A149"/>
      <c r="B149"/>
      <c r="C149"/>
    </row>
    <row r="150" spans="1:3" x14ac:dyDescent="0.35">
      <c r="A150"/>
      <c r="B150"/>
      <c r="C150"/>
    </row>
    <row r="151" spans="1:3" x14ac:dyDescent="0.35">
      <c r="A151"/>
      <c r="B151"/>
      <c r="C151"/>
    </row>
    <row r="152" spans="1:3" x14ac:dyDescent="0.35">
      <c r="A152"/>
      <c r="B152"/>
      <c r="C152"/>
    </row>
    <row r="153" spans="1:3" x14ac:dyDescent="0.35">
      <c r="A153"/>
      <c r="B153"/>
      <c r="C153"/>
    </row>
    <row r="154" spans="1:3" x14ac:dyDescent="0.35">
      <c r="A154"/>
      <c r="B154"/>
      <c r="C154"/>
    </row>
    <row r="155" spans="1:3" x14ac:dyDescent="0.35">
      <c r="A155"/>
      <c r="B155"/>
      <c r="C155"/>
    </row>
    <row r="156" spans="1:3" x14ac:dyDescent="0.35">
      <c r="A156"/>
      <c r="B156"/>
      <c r="C156"/>
    </row>
    <row r="157" spans="1:3" x14ac:dyDescent="0.35">
      <c r="A157"/>
      <c r="B157"/>
      <c r="C157"/>
    </row>
    <row r="158" spans="1:3" x14ac:dyDescent="0.35">
      <c r="A158"/>
      <c r="B158"/>
      <c r="C158"/>
    </row>
    <row r="159" spans="1:3" x14ac:dyDescent="0.35">
      <c r="A159"/>
      <c r="B159"/>
      <c r="C159"/>
    </row>
    <row r="160" spans="1:3" x14ac:dyDescent="0.35">
      <c r="A160"/>
      <c r="B160"/>
      <c r="C160"/>
    </row>
    <row r="161" spans="1:3" x14ac:dyDescent="0.35">
      <c r="A161"/>
      <c r="B161"/>
      <c r="C161"/>
    </row>
  </sheetData>
  <mergeCells count="1">
    <mergeCell ref="A1:J1"/>
  </mergeCells>
  <phoneticPr fontId="4" type="noConversion"/>
  <pageMargins left="0.7" right="0.7" top="0.75" bottom="0.75" header="0.3" footer="0.3"/>
  <pageSetup orientation="portrait" horizontalDpi="0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8493DFB-43E9-46F9-9092-19F75E232289}">
          <x14:formula1>
            <xm:f>Details!$A$2:$A$25</xm:f>
          </x14:formula1>
          <xm:sqref>A4:A151</xm:sqref>
        </x14:dataValidation>
        <x14:dataValidation type="list" allowBlank="1" showInputMessage="1" showErrorMessage="1" xr:uid="{3DF6FD37-D607-468D-B6E7-3429FEC5FDCE}">
          <x14:formula1>
            <xm:f>Details!$F$2:$F$11</xm:f>
          </x14:formula1>
          <xm:sqref>F4:F151</xm:sqref>
        </x14:dataValidation>
        <x14:dataValidation type="list" allowBlank="1" showInputMessage="1" showErrorMessage="1" xr:uid="{BFF73E1D-08B2-4D3F-A58E-3D1356F2A9EF}">
          <x14:formula1>
            <xm:f>Details!$D$2:$D$40</xm:f>
          </x14:formula1>
          <xm:sqref>E4:E151</xm:sqref>
        </x14:dataValidation>
        <x14:dataValidation type="list" allowBlank="1" showInputMessage="1" showErrorMessage="1" xr:uid="{B1994ACB-E9E3-4786-91AD-1CBFBD8BEBE8}">
          <x14:formula1>
            <xm:f>Details!$C$2:$C$25</xm:f>
          </x14:formula1>
          <xm:sqref>D4:D151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07838-4FD0-436B-B9EB-43E3183E6B72}">
  <sheetPr>
    <tabColor theme="4"/>
  </sheetPr>
  <dimension ref="A1:AB1000"/>
  <sheetViews>
    <sheetView workbookViewId="0">
      <pane ySplit="3" topLeftCell="A4" activePane="bottomLeft" state="frozen"/>
      <selection pane="bottomLeft" activeCell="Y4" sqref="Y4"/>
    </sheetView>
  </sheetViews>
  <sheetFormatPr defaultColWidth="8.81640625" defaultRowHeight="14.5" x14ac:dyDescent="0.35"/>
  <cols>
    <col min="1" max="1" width="15" style="1" customWidth="1"/>
    <col min="2" max="3" width="15.81640625" style="1" customWidth="1"/>
    <col min="4" max="4" width="50.81640625" style="1" bestFit="1" customWidth="1"/>
    <col min="5" max="5" width="19.81640625" style="1" customWidth="1"/>
    <col min="6" max="7" width="25.54296875" style="1" customWidth="1"/>
    <col min="8" max="8" width="25.54296875" style="3" customWidth="1"/>
    <col min="9" max="10" width="25.54296875" style="1" customWidth="1"/>
    <col min="11" max="12" width="16.54296875" style="1" customWidth="1"/>
    <col min="13" max="13" width="19.1796875" style="1" customWidth="1"/>
    <col min="14" max="14" width="39.81640625" style="1" customWidth="1"/>
    <col min="15" max="15" width="21.54296875" style="1" customWidth="1"/>
    <col min="16" max="16" width="16.81640625" style="1" customWidth="1"/>
    <col min="17" max="17" width="12.453125" style="1" customWidth="1"/>
    <col min="18" max="18" width="11.81640625" style="1" customWidth="1"/>
    <col min="19" max="19" width="14.1796875" style="1" customWidth="1"/>
    <col min="20" max="20" width="28.54296875" style="1" customWidth="1"/>
    <col min="21" max="21" width="31" style="1" customWidth="1"/>
    <col min="22" max="22" width="25.1796875" style="1" customWidth="1"/>
    <col min="23" max="23" width="27.1796875" style="1" customWidth="1"/>
    <col min="24" max="24" width="14" style="1" customWidth="1"/>
    <col min="25" max="25" width="13.7265625" style="1" customWidth="1"/>
    <col min="26" max="16384" width="8.81640625" style="1"/>
  </cols>
  <sheetData>
    <row r="1" spans="1:28" ht="16" x14ac:dyDescent="0.35">
      <c r="A1" s="41" t="s">
        <v>37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</row>
    <row r="2" spans="1:28" ht="26.15" customHeight="1" x14ac:dyDescent="0.35">
      <c r="A2" s="42" t="s">
        <v>38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</row>
    <row r="3" spans="1:28" ht="34" customHeight="1" x14ac:dyDescent="0.35">
      <c r="A3" s="30" t="s">
        <v>39</v>
      </c>
      <c r="B3" s="30" t="s">
        <v>24</v>
      </c>
      <c r="C3" s="30" t="s">
        <v>26</v>
      </c>
      <c r="D3" s="30" t="s">
        <v>25</v>
      </c>
      <c r="E3" s="30" t="s">
        <v>27</v>
      </c>
      <c r="F3" s="30" t="s">
        <v>28</v>
      </c>
      <c r="G3" s="30" t="s">
        <v>29</v>
      </c>
      <c r="H3" s="29" t="s">
        <v>40</v>
      </c>
      <c r="I3" s="28" t="s">
        <v>41</v>
      </c>
      <c r="J3" s="28" t="s">
        <v>42</v>
      </c>
      <c r="K3" s="28" t="s">
        <v>43</v>
      </c>
      <c r="L3" s="28" t="s">
        <v>44</v>
      </c>
      <c r="M3" s="28" t="s">
        <v>45</v>
      </c>
      <c r="N3" s="28" t="s">
        <v>46</v>
      </c>
      <c r="O3" s="28" t="s">
        <v>47</v>
      </c>
      <c r="P3" s="28" t="s">
        <v>48</v>
      </c>
      <c r="Q3" s="28" t="s">
        <v>49</v>
      </c>
      <c r="R3" s="28" t="s">
        <v>50</v>
      </c>
      <c r="S3" s="28" t="s">
        <v>51</v>
      </c>
      <c r="T3" s="30" t="s">
        <v>52</v>
      </c>
      <c r="U3" s="28" t="s">
        <v>53</v>
      </c>
      <c r="V3" s="28" t="s">
        <v>54</v>
      </c>
      <c r="W3" s="28" t="s">
        <v>55</v>
      </c>
      <c r="X3" s="28" t="s">
        <v>56</v>
      </c>
      <c r="Y3" s="28" t="s">
        <v>57</v>
      </c>
      <c r="Z3" s="28" t="s">
        <v>58</v>
      </c>
      <c r="AA3" s="28" t="s">
        <v>59</v>
      </c>
      <c r="AB3" s="28" t="s">
        <v>60</v>
      </c>
    </row>
    <row r="4" spans="1:28" x14ac:dyDescent="0.35">
      <c r="A4" s="1" t="s">
        <v>61</v>
      </c>
      <c r="B4" s="1" t="s">
        <v>34</v>
      </c>
      <c r="C4" s="27" t="s">
        <v>36</v>
      </c>
      <c r="D4" s="1" t="s">
        <v>35</v>
      </c>
      <c r="E4" s="27" t="s">
        <v>62</v>
      </c>
      <c r="H4" s="3">
        <v>46205</v>
      </c>
      <c r="I4" s="12" t="s">
        <v>63</v>
      </c>
      <c r="J4" s="12" t="s">
        <v>64</v>
      </c>
      <c r="K4" s="12" t="s">
        <v>65</v>
      </c>
      <c r="L4" s="12" t="s">
        <v>66</v>
      </c>
      <c r="M4" s="12" t="s">
        <v>67</v>
      </c>
      <c r="N4" s="12" t="s">
        <v>68</v>
      </c>
      <c r="O4" s="12" t="s">
        <v>69</v>
      </c>
      <c r="P4" s="12" t="s">
        <v>70</v>
      </c>
      <c r="Q4" s="12" t="s">
        <v>71</v>
      </c>
      <c r="R4" s="12" t="s">
        <v>72</v>
      </c>
      <c r="S4" s="12" t="s">
        <v>73</v>
      </c>
      <c r="T4" s="1" t="s">
        <v>74</v>
      </c>
      <c r="U4" s="12" t="s">
        <v>75</v>
      </c>
      <c r="V4" s="12" t="s">
        <v>64</v>
      </c>
      <c r="W4" s="12" t="s">
        <v>70</v>
      </c>
      <c r="X4" s="12" t="s">
        <v>70</v>
      </c>
      <c r="Y4" s="12" t="s">
        <v>76</v>
      </c>
      <c r="Z4" s="1" t="s">
        <v>77</v>
      </c>
      <c r="AA4" s="1">
        <v>11</v>
      </c>
      <c r="AB4" s="1" t="s">
        <v>78</v>
      </c>
    </row>
    <row r="5" spans="1:28" x14ac:dyDescent="0.35">
      <c r="A5" s="1" t="s">
        <v>79</v>
      </c>
      <c r="B5" s="1" t="s">
        <v>34</v>
      </c>
      <c r="C5" s="27" t="s">
        <v>36</v>
      </c>
      <c r="D5" s="1" t="s">
        <v>80</v>
      </c>
      <c r="E5" s="27" t="s">
        <v>62</v>
      </c>
      <c r="F5" s="27"/>
      <c r="H5" s="3">
        <v>46206</v>
      </c>
      <c r="I5" s="12" t="s">
        <v>81</v>
      </c>
      <c r="J5" s="12" t="s">
        <v>64</v>
      </c>
      <c r="K5" s="12" t="s">
        <v>65</v>
      </c>
      <c r="L5" s="12" t="s">
        <v>66</v>
      </c>
      <c r="M5" s="12" t="s">
        <v>67</v>
      </c>
      <c r="N5" s="12" t="s">
        <v>82</v>
      </c>
      <c r="O5" s="12" t="s">
        <v>83</v>
      </c>
      <c r="P5" s="12" t="s">
        <v>70</v>
      </c>
      <c r="Q5" s="12" t="s">
        <v>84</v>
      </c>
      <c r="R5" s="12" t="s">
        <v>72</v>
      </c>
      <c r="S5" s="12" t="s">
        <v>85</v>
      </c>
      <c r="T5" s="1" t="s">
        <v>86</v>
      </c>
      <c r="U5" s="12" t="s">
        <v>87</v>
      </c>
      <c r="V5" s="12" t="s">
        <v>64</v>
      </c>
      <c r="W5" s="12" t="s">
        <v>70</v>
      </c>
      <c r="X5" s="12" t="s">
        <v>64</v>
      </c>
      <c r="Y5" s="12" t="s">
        <v>88</v>
      </c>
      <c r="Z5" s="1" t="s">
        <v>89</v>
      </c>
      <c r="AA5" s="1">
        <v>17</v>
      </c>
      <c r="AB5" s="1" t="s">
        <v>90</v>
      </c>
    </row>
    <row r="6" spans="1:28" x14ac:dyDescent="0.35">
      <c r="C6" s="27"/>
      <c r="E6" s="27"/>
      <c r="F6" s="27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U6" s="12"/>
      <c r="V6" s="12"/>
      <c r="W6" s="12"/>
      <c r="X6" s="12"/>
      <c r="Y6" s="12"/>
    </row>
    <row r="7" spans="1:28" x14ac:dyDescent="0.35">
      <c r="C7" s="27"/>
      <c r="E7" s="27"/>
      <c r="F7" s="27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U7" s="12"/>
      <c r="V7" s="12"/>
      <c r="W7" s="12"/>
      <c r="X7" s="12"/>
      <c r="Y7" s="12"/>
    </row>
    <row r="8" spans="1:28" x14ac:dyDescent="0.35">
      <c r="C8" s="27"/>
    </row>
    <row r="822" spans="3:25" x14ac:dyDescent="0.35">
      <c r="C822" s="27"/>
      <c r="E822" s="27"/>
      <c r="F822" s="27"/>
      <c r="G822" s="27"/>
      <c r="H822" s="13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U822" s="12"/>
      <c r="V822" s="12"/>
      <c r="W822" s="12"/>
      <c r="X822" s="12"/>
      <c r="Y822" s="12"/>
    </row>
    <row r="823" spans="3:25" x14ac:dyDescent="0.35">
      <c r="C823" s="27"/>
      <c r="E823" s="27"/>
      <c r="F823" s="27"/>
      <c r="G823" s="27"/>
      <c r="H823" s="13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U823" s="12"/>
      <c r="V823" s="12"/>
      <c r="W823" s="12"/>
      <c r="X823" s="12"/>
      <c r="Y823" s="12"/>
    </row>
    <row r="824" spans="3:25" x14ac:dyDescent="0.35">
      <c r="C824" s="27"/>
      <c r="E824" s="27"/>
      <c r="F824" s="27"/>
      <c r="G824" s="27"/>
      <c r="H824" s="13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U824" s="12"/>
      <c r="V824" s="12"/>
      <c r="W824" s="12"/>
      <c r="X824" s="12"/>
      <c r="Y824" s="12"/>
    </row>
    <row r="825" spans="3:25" x14ac:dyDescent="0.35">
      <c r="C825" s="27"/>
      <c r="E825" s="27"/>
      <c r="F825" s="27"/>
      <c r="G825" s="27"/>
      <c r="H825" s="13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U825" s="12"/>
      <c r="V825" s="12"/>
      <c r="W825" s="12"/>
      <c r="X825" s="12"/>
      <c r="Y825" s="12"/>
    </row>
    <row r="826" spans="3:25" x14ac:dyDescent="0.35">
      <c r="C826" s="27"/>
      <c r="E826" s="27"/>
      <c r="F826" s="27"/>
      <c r="G826" s="27"/>
      <c r="H826" s="13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U826" s="12"/>
      <c r="V826" s="12"/>
      <c r="W826" s="12"/>
      <c r="X826" s="12"/>
      <c r="Y826" s="12"/>
    </row>
    <row r="827" spans="3:25" x14ac:dyDescent="0.35">
      <c r="C827" s="27"/>
      <c r="E827" s="27"/>
      <c r="F827" s="27"/>
      <c r="G827" s="27"/>
      <c r="H827" s="13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U827" s="12"/>
      <c r="V827" s="12"/>
      <c r="W827" s="12"/>
      <c r="X827" s="12"/>
      <c r="Y827" s="12"/>
    </row>
    <row r="828" spans="3:25" x14ac:dyDescent="0.35">
      <c r="C828" s="27"/>
      <c r="E828" s="27"/>
      <c r="F828" s="27"/>
      <c r="G828" s="27"/>
      <c r="H828" s="13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U828" s="12"/>
      <c r="V828" s="12"/>
      <c r="W828" s="12"/>
      <c r="X828" s="12"/>
      <c r="Y828" s="12"/>
    </row>
    <row r="829" spans="3:25" x14ac:dyDescent="0.35">
      <c r="C829" s="27"/>
      <c r="E829" s="27"/>
      <c r="F829" s="27"/>
      <c r="G829" s="27"/>
      <c r="H829" s="13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U829" s="12"/>
      <c r="V829" s="12"/>
      <c r="W829" s="12"/>
      <c r="X829" s="12"/>
      <c r="Y829" s="12"/>
    </row>
    <row r="830" spans="3:25" x14ac:dyDescent="0.35">
      <c r="C830" s="27"/>
      <c r="E830" s="27"/>
      <c r="F830" s="27"/>
      <c r="G830" s="27"/>
      <c r="H830" s="13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U830" s="12"/>
      <c r="V830" s="12"/>
      <c r="W830" s="12"/>
      <c r="X830" s="12"/>
      <c r="Y830" s="12"/>
    </row>
    <row r="831" spans="3:25" x14ac:dyDescent="0.35">
      <c r="C831" s="27"/>
      <c r="E831" s="27"/>
      <c r="F831" s="27"/>
      <c r="G831" s="27"/>
      <c r="H831" s="13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U831" s="12"/>
      <c r="V831" s="12"/>
      <c r="W831" s="12"/>
      <c r="X831" s="12"/>
      <c r="Y831" s="12"/>
    </row>
    <row r="832" spans="3:25" x14ac:dyDescent="0.35">
      <c r="C832" s="27"/>
      <c r="E832" s="27"/>
      <c r="F832" s="27"/>
      <c r="G832" s="27"/>
      <c r="H832" s="13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U832" s="12"/>
      <c r="V832" s="12"/>
      <c r="W832" s="12"/>
      <c r="X832" s="12"/>
      <c r="Y832" s="12"/>
    </row>
    <row r="833" spans="3:25" x14ac:dyDescent="0.35">
      <c r="C833" s="27"/>
      <c r="E833" s="27"/>
      <c r="F833" s="27"/>
      <c r="G833" s="27"/>
      <c r="H833" s="13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U833" s="12"/>
      <c r="V833" s="12"/>
      <c r="W833" s="12"/>
      <c r="X833" s="12"/>
      <c r="Y833" s="12"/>
    </row>
    <row r="834" spans="3:25" x14ac:dyDescent="0.35">
      <c r="C834" s="27"/>
      <c r="E834" s="27"/>
      <c r="F834" s="27"/>
      <c r="G834" s="27"/>
      <c r="H834" s="13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U834" s="12"/>
      <c r="V834" s="12"/>
      <c r="W834" s="12"/>
      <c r="X834" s="12"/>
      <c r="Y834" s="12"/>
    </row>
    <row r="835" spans="3:25" x14ac:dyDescent="0.35">
      <c r="C835" s="27"/>
      <c r="E835" s="27"/>
      <c r="F835" s="27"/>
      <c r="G835" s="27"/>
      <c r="H835" s="13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U835" s="12"/>
      <c r="V835" s="12"/>
      <c r="W835" s="12"/>
      <c r="X835" s="12"/>
      <c r="Y835" s="12"/>
    </row>
    <row r="836" spans="3:25" x14ac:dyDescent="0.35">
      <c r="C836" s="27"/>
      <c r="E836" s="27"/>
      <c r="F836" s="27"/>
      <c r="G836" s="27"/>
      <c r="H836" s="13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U836" s="12"/>
      <c r="V836" s="12"/>
      <c r="W836" s="12"/>
      <c r="X836" s="12"/>
      <c r="Y836" s="12"/>
    </row>
    <row r="837" spans="3:25" x14ac:dyDescent="0.35">
      <c r="C837" s="27"/>
      <c r="E837" s="27"/>
      <c r="F837" s="27"/>
      <c r="G837" s="27"/>
      <c r="H837" s="13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U837" s="12"/>
      <c r="V837" s="12"/>
      <c r="W837" s="12"/>
      <c r="X837" s="12"/>
      <c r="Y837" s="12"/>
    </row>
    <row r="838" spans="3:25" x14ac:dyDescent="0.35">
      <c r="C838" s="27"/>
      <c r="E838" s="27"/>
      <c r="F838" s="27"/>
      <c r="G838" s="27"/>
      <c r="H838" s="13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U838" s="12"/>
      <c r="V838" s="12"/>
      <c r="W838" s="12"/>
      <c r="X838" s="12"/>
      <c r="Y838" s="12"/>
    </row>
    <row r="839" spans="3:25" x14ac:dyDescent="0.35">
      <c r="C839" s="27"/>
      <c r="E839" s="27"/>
      <c r="F839" s="27"/>
      <c r="G839" s="27"/>
      <c r="H839" s="13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U839" s="12"/>
      <c r="V839" s="12"/>
      <c r="W839" s="12"/>
      <c r="X839" s="12"/>
      <c r="Y839" s="12"/>
    </row>
    <row r="840" spans="3:25" x14ac:dyDescent="0.35">
      <c r="C840" s="27"/>
      <c r="E840" s="27"/>
      <c r="F840" s="27"/>
      <c r="G840" s="27"/>
      <c r="H840" s="13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U840" s="12"/>
      <c r="V840" s="12"/>
      <c r="W840" s="12"/>
      <c r="X840" s="12"/>
      <c r="Y840" s="12"/>
    </row>
    <row r="841" spans="3:25" x14ac:dyDescent="0.35">
      <c r="C841" s="27"/>
      <c r="E841" s="27"/>
      <c r="F841" s="27"/>
      <c r="G841" s="27"/>
      <c r="H841" s="13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U841" s="12"/>
      <c r="V841" s="12"/>
      <c r="W841" s="12"/>
      <c r="X841" s="12"/>
      <c r="Y841" s="12"/>
    </row>
    <row r="842" spans="3:25" x14ac:dyDescent="0.35">
      <c r="C842" s="27"/>
      <c r="E842" s="27"/>
      <c r="F842" s="27"/>
      <c r="G842" s="27"/>
      <c r="H842" s="13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U842" s="12"/>
      <c r="V842" s="12"/>
      <c r="W842" s="12"/>
      <c r="X842" s="12"/>
      <c r="Y842" s="12"/>
    </row>
    <row r="843" spans="3:25" x14ac:dyDescent="0.35">
      <c r="C843" s="27"/>
      <c r="E843" s="27"/>
      <c r="F843" s="27"/>
      <c r="G843" s="27"/>
      <c r="H843" s="13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U843" s="12"/>
      <c r="V843" s="12"/>
      <c r="W843" s="12"/>
      <c r="X843" s="12"/>
      <c r="Y843" s="12"/>
    </row>
    <row r="844" spans="3:25" x14ac:dyDescent="0.35">
      <c r="C844" s="27"/>
      <c r="E844" s="27"/>
      <c r="F844" s="27"/>
      <c r="G844" s="27"/>
      <c r="H844" s="13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U844" s="12"/>
      <c r="V844" s="12"/>
      <c r="W844" s="12"/>
      <c r="X844" s="12"/>
      <c r="Y844" s="12"/>
    </row>
    <row r="845" spans="3:25" x14ac:dyDescent="0.35">
      <c r="C845" s="27"/>
      <c r="E845" s="27"/>
      <c r="F845" s="27"/>
      <c r="G845" s="27"/>
      <c r="H845" s="13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U845" s="12"/>
      <c r="V845" s="12"/>
      <c r="W845" s="12"/>
      <c r="X845" s="12"/>
      <c r="Y845" s="12"/>
    </row>
    <row r="846" spans="3:25" x14ac:dyDescent="0.35">
      <c r="C846" s="27"/>
      <c r="E846" s="27"/>
      <c r="F846" s="27"/>
      <c r="G846" s="27"/>
      <c r="H846" s="13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U846" s="12"/>
      <c r="V846" s="12"/>
      <c r="W846" s="12"/>
      <c r="X846" s="12"/>
      <c r="Y846" s="12"/>
    </row>
    <row r="847" spans="3:25" x14ac:dyDescent="0.35">
      <c r="C847" s="27"/>
      <c r="E847" s="27"/>
      <c r="F847" s="27"/>
      <c r="G847" s="27"/>
      <c r="H847" s="13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U847" s="12"/>
      <c r="V847" s="12"/>
      <c r="W847" s="12"/>
      <c r="X847" s="12"/>
      <c r="Y847" s="12"/>
    </row>
    <row r="848" spans="3:25" x14ac:dyDescent="0.35">
      <c r="C848" s="27"/>
      <c r="E848" s="27"/>
      <c r="F848" s="27"/>
      <c r="G848" s="27"/>
      <c r="H848" s="13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U848" s="12"/>
      <c r="V848" s="12"/>
      <c r="W848" s="12"/>
      <c r="X848" s="12"/>
      <c r="Y848" s="12"/>
    </row>
    <row r="849" spans="3:25" x14ac:dyDescent="0.35">
      <c r="C849" s="27"/>
      <c r="E849" s="27"/>
      <c r="F849" s="27"/>
      <c r="G849" s="27"/>
      <c r="H849" s="13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U849" s="12"/>
      <c r="V849" s="12"/>
      <c r="W849" s="12"/>
      <c r="X849" s="12"/>
      <c r="Y849" s="12"/>
    </row>
    <row r="850" spans="3:25" x14ac:dyDescent="0.35">
      <c r="C850" s="27"/>
      <c r="E850" s="27"/>
      <c r="F850" s="27"/>
      <c r="G850" s="27"/>
      <c r="H850" s="13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U850" s="12"/>
      <c r="V850" s="12"/>
      <c r="W850" s="12"/>
      <c r="X850" s="12"/>
      <c r="Y850" s="12"/>
    </row>
    <row r="851" spans="3:25" x14ac:dyDescent="0.35">
      <c r="C851" s="27"/>
      <c r="E851" s="27"/>
      <c r="F851" s="27"/>
      <c r="G851" s="27"/>
      <c r="H851" s="13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U851" s="12"/>
      <c r="V851" s="12"/>
      <c r="W851" s="12"/>
      <c r="X851" s="12"/>
      <c r="Y851" s="12"/>
    </row>
    <row r="852" spans="3:25" x14ac:dyDescent="0.35">
      <c r="C852" s="27"/>
      <c r="E852" s="27"/>
      <c r="F852" s="27"/>
      <c r="G852" s="27"/>
      <c r="H852" s="13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U852" s="12"/>
      <c r="V852" s="12"/>
      <c r="W852" s="12"/>
      <c r="X852" s="12"/>
      <c r="Y852" s="12"/>
    </row>
    <row r="853" spans="3:25" x14ac:dyDescent="0.35">
      <c r="C853" s="27"/>
      <c r="E853" s="27"/>
      <c r="F853" s="27"/>
      <c r="G853" s="27"/>
      <c r="H853" s="13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U853" s="12"/>
      <c r="V853" s="12"/>
      <c r="W853" s="12"/>
      <c r="X853" s="12"/>
      <c r="Y853" s="12"/>
    </row>
    <row r="854" spans="3:25" x14ac:dyDescent="0.35">
      <c r="C854" s="27"/>
      <c r="E854" s="27"/>
      <c r="F854" s="27"/>
      <c r="G854" s="27"/>
      <c r="H854" s="13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U854" s="12"/>
      <c r="V854" s="12"/>
      <c r="W854" s="12"/>
      <c r="X854" s="12"/>
      <c r="Y854" s="12"/>
    </row>
    <row r="855" spans="3:25" x14ac:dyDescent="0.35">
      <c r="C855" s="27"/>
      <c r="E855" s="27"/>
      <c r="F855" s="27"/>
      <c r="G855" s="27"/>
      <c r="H855" s="13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U855" s="12"/>
      <c r="V855" s="12"/>
      <c r="W855" s="12"/>
      <c r="X855" s="12"/>
      <c r="Y855" s="12"/>
    </row>
    <row r="856" spans="3:25" x14ac:dyDescent="0.35">
      <c r="C856" s="27"/>
      <c r="E856" s="27"/>
      <c r="F856" s="27"/>
      <c r="G856" s="27"/>
      <c r="H856" s="13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U856" s="12"/>
      <c r="V856" s="12"/>
      <c r="W856" s="12"/>
      <c r="X856" s="12"/>
      <c r="Y856" s="12"/>
    </row>
    <row r="857" spans="3:25" x14ac:dyDescent="0.35">
      <c r="C857" s="27"/>
      <c r="E857" s="27"/>
      <c r="F857" s="27"/>
      <c r="G857" s="27"/>
      <c r="H857" s="13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U857" s="12"/>
      <c r="V857" s="12"/>
      <c r="W857" s="12"/>
      <c r="X857" s="12"/>
      <c r="Y857" s="12"/>
    </row>
    <row r="858" spans="3:25" x14ac:dyDescent="0.35">
      <c r="C858" s="27"/>
      <c r="E858" s="27"/>
      <c r="F858" s="27"/>
      <c r="G858" s="27"/>
      <c r="H858" s="13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U858" s="12"/>
      <c r="V858" s="12"/>
      <c r="W858" s="12"/>
      <c r="X858" s="12"/>
      <c r="Y858" s="12"/>
    </row>
    <row r="859" spans="3:25" x14ac:dyDescent="0.35">
      <c r="C859" s="27"/>
      <c r="E859" s="27"/>
      <c r="F859" s="27"/>
      <c r="G859" s="27"/>
      <c r="H859" s="13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U859" s="12"/>
      <c r="V859" s="12"/>
      <c r="W859" s="12"/>
      <c r="X859" s="12"/>
      <c r="Y859" s="12"/>
    </row>
    <row r="860" spans="3:25" x14ac:dyDescent="0.35">
      <c r="C860" s="27"/>
      <c r="E860" s="27"/>
      <c r="F860" s="27"/>
      <c r="G860" s="27"/>
      <c r="H860" s="13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U860" s="12"/>
      <c r="V860" s="12"/>
      <c r="W860" s="12"/>
      <c r="X860" s="12"/>
      <c r="Y860" s="12"/>
    </row>
    <row r="861" spans="3:25" x14ac:dyDescent="0.35">
      <c r="C861" s="27"/>
      <c r="E861" s="27"/>
      <c r="F861" s="27"/>
      <c r="G861" s="27"/>
      <c r="H861" s="13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U861" s="12"/>
      <c r="V861" s="12"/>
      <c r="W861" s="12"/>
      <c r="X861" s="12"/>
      <c r="Y861" s="12"/>
    </row>
    <row r="862" spans="3:25" x14ac:dyDescent="0.35">
      <c r="C862" s="27"/>
      <c r="E862" s="27"/>
      <c r="F862" s="27"/>
      <c r="G862" s="27"/>
      <c r="H862" s="13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U862" s="12"/>
      <c r="V862" s="12"/>
      <c r="W862" s="12"/>
      <c r="X862" s="12"/>
      <c r="Y862" s="12"/>
    </row>
    <row r="863" spans="3:25" x14ac:dyDescent="0.35">
      <c r="C863" s="27"/>
      <c r="E863" s="27"/>
      <c r="F863" s="27"/>
      <c r="G863" s="27"/>
      <c r="H863" s="13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U863" s="12"/>
      <c r="V863" s="12"/>
      <c r="W863" s="12"/>
      <c r="X863" s="12"/>
      <c r="Y863" s="12"/>
    </row>
    <row r="864" spans="3:25" x14ac:dyDescent="0.35">
      <c r="C864" s="27"/>
      <c r="E864" s="27"/>
      <c r="F864" s="27"/>
      <c r="G864" s="27"/>
      <c r="H864" s="13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U864" s="12"/>
      <c r="V864" s="12"/>
      <c r="W864" s="12"/>
      <c r="X864" s="12"/>
      <c r="Y864" s="12"/>
    </row>
    <row r="865" spans="3:25" x14ac:dyDescent="0.35">
      <c r="C865" s="27"/>
      <c r="E865" s="27"/>
      <c r="F865" s="27"/>
      <c r="G865" s="27"/>
      <c r="H865" s="13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U865" s="12"/>
      <c r="V865" s="12"/>
      <c r="W865" s="12"/>
      <c r="X865" s="12"/>
      <c r="Y865" s="12"/>
    </row>
    <row r="866" spans="3:25" x14ac:dyDescent="0.35">
      <c r="C866" s="27"/>
      <c r="E866" s="27"/>
      <c r="F866" s="27"/>
      <c r="G866" s="27"/>
      <c r="H866" s="13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U866" s="12"/>
      <c r="V866" s="12"/>
      <c r="W866" s="12"/>
      <c r="X866" s="12"/>
      <c r="Y866" s="12"/>
    </row>
    <row r="867" spans="3:25" x14ac:dyDescent="0.35">
      <c r="C867" s="27"/>
      <c r="E867" s="27"/>
      <c r="F867" s="27"/>
      <c r="G867" s="27"/>
      <c r="H867" s="13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U867" s="12"/>
      <c r="V867" s="12"/>
      <c r="W867" s="12"/>
      <c r="X867" s="12"/>
      <c r="Y867" s="12"/>
    </row>
    <row r="868" spans="3:25" x14ac:dyDescent="0.35">
      <c r="C868" s="27"/>
      <c r="E868" s="27"/>
      <c r="F868" s="27"/>
      <c r="G868" s="27"/>
      <c r="H868" s="13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U868" s="12"/>
      <c r="V868" s="12"/>
      <c r="W868" s="12"/>
      <c r="X868" s="12"/>
      <c r="Y868" s="12"/>
    </row>
    <row r="869" spans="3:25" x14ac:dyDescent="0.35">
      <c r="C869" s="27"/>
      <c r="E869" s="27"/>
      <c r="F869" s="27"/>
      <c r="G869" s="27"/>
      <c r="H869" s="13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U869" s="12"/>
      <c r="V869" s="12"/>
      <c r="W869" s="12"/>
      <c r="X869" s="12"/>
      <c r="Y869" s="12"/>
    </row>
    <row r="870" spans="3:25" x14ac:dyDescent="0.35">
      <c r="C870" s="27"/>
      <c r="E870" s="27"/>
      <c r="F870" s="27"/>
      <c r="G870" s="27"/>
      <c r="H870" s="13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U870" s="12"/>
      <c r="V870" s="12"/>
      <c r="W870" s="12"/>
      <c r="X870" s="12"/>
      <c r="Y870" s="12"/>
    </row>
    <row r="871" spans="3:25" x14ac:dyDescent="0.35">
      <c r="C871" s="27"/>
      <c r="E871" s="27"/>
      <c r="F871" s="27"/>
      <c r="G871" s="27"/>
      <c r="H871" s="13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U871" s="12"/>
      <c r="V871" s="12"/>
      <c r="W871" s="12"/>
      <c r="X871" s="12"/>
      <c r="Y871" s="12"/>
    </row>
    <row r="872" spans="3:25" x14ac:dyDescent="0.35">
      <c r="C872" s="27"/>
      <c r="E872" s="27"/>
      <c r="F872" s="27"/>
      <c r="G872" s="27"/>
      <c r="H872" s="13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U872" s="12"/>
      <c r="V872" s="12"/>
      <c r="W872" s="12"/>
      <c r="X872" s="12"/>
      <c r="Y872" s="12"/>
    </row>
    <row r="873" spans="3:25" x14ac:dyDescent="0.35">
      <c r="C873" s="27"/>
      <c r="E873" s="27"/>
      <c r="F873" s="27"/>
      <c r="G873" s="27"/>
      <c r="H873" s="13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U873" s="12"/>
      <c r="V873" s="12"/>
      <c r="W873" s="12"/>
      <c r="X873" s="12"/>
      <c r="Y873" s="12"/>
    </row>
    <row r="874" spans="3:25" x14ac:dyDescent="0.35">
      <c r="C874" s="27"/>
      <c r="E874" s="27"/>
      <c r="F874" s="27"/>
      <c r="G874" s="27"/>
      <c r="H874" s="13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U874" s="12"/>
      <c r="V874" s="12"/>
      <c r="W874" s="12"/>
      <c r="X874" s="12"/>
      <c r="Y874" s="12"/>
    </row>
    <row r="875" spans="3:25" x14ac:dyDescent="0.35">
      <c r="C875" s="27"/>
      <c r="E875" s="27"/>
      <c r="F875" s="27"/>
      <c r="G875" s="27"/>
      <c r="H875" s="13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U875" s="12"/>
      <c r="V875" s="12"/>
      <c r="W875" s="12"/>
      <c r="X875" s="12"/>
      <c r="Y875" s="12"/>
    </row>
    <row r="876" spans="3:25" x14ac:dyDescent="0.35">
      <c r="C876" s="27"/>
      <c r="E876" s="27"/>
      <c r="F876" s="27"/>
      <c r="G876" s="27"/>
      <c r="H876" s="13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U876" s="12"/>
      <c r="V876" s="12"/>
      <c r="W876" s="12"/>
      <c r="X876" s="12"/>
      <c r="Y876" s="12"/>
    </row>
    <row r="877" spans="3:25" x14ac:dyDescent="0.35">
      <c r="C877" s="27"/>
      <c r="E877" s="27"/>
      <c r="F877" s="27"/>
      <c r="G877" s="27"/>
      <c r="H877" s="13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U877" s="12"/>
      <c r="V877" s="12"/>
      <c r="W877" s="12"/>
      <c r="X877" s="12"/>
      <c r="Y877" s="12"/>
    </row>
    <row r="878" spans="3:25" x14ac:dyDescent="0.35">
      <c r="C878" s="27"/>
      <c r="E878" s="27"/>
      <c r="F878" s="27"/>
      <c r="G878" s="27"/>
      <c r="H878" s="13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U878" s="12"/>
      <c r="V878" s="12"/>
      <c r="W878" s="12"/>
      <c r="X878" s="12"/>
      <c r="Y878" s="12"/>
    </row>
    <row r="879" spans="3:25" x14ac:dyDescent="0.35">
      <c r="C879" s="27"/>
      <c r="E879" s="27"/>
      <c r="F879" s="27"/>
      <c r="G879" s="27"/>
      <c r="H879" s="13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U879" s="12"/>
      <c r="V879" s="12"/>
      <c r="W879" s="12"/>
      <c r="X879" s="12"/>
      <c r="Y879" s="12"/>
    </row>
    <row r="880" spans="3:25" x14ac:dyDescent="0.35">
      <c r="C880" s="27"/>
      <c r="E880" s="27"/>
      <c r="F880" s="27"/>
      <c r="G880" s="27"/>
      <c r="H880" s="13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U880" s="12"/>
      <c r="V880" s="12"/>
      <c r="W880" s="12"/>
      <c r="X880" s="12"/>
      <c r="Y880" s="12"/>
    </row>
    <row r="881" spans="3:25" x14ac:dyDescent="0.35">
      <c r="C881" s="27"/>
      <c r="E881" s="27"/>
      <c r="F881" s="27"/>
      <c r="G881" s="27"/>
      <c r="H881" s="13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U881" s="12"/>
      <c r="V881" s="12"/>
      <c r="W881" s="12"/>
      <c r="X881" s="12"/>
      <c r="Y881" s="12"/>
    </row>
    <row r="882" spans="3:25" x14ac:dyDescent="0.35">
      <c r="C882" s="27"/>
      <c r="E882" s="27"/>
      <c r="F882" s="27"/>
      <c r="G882" s="27"/>
      <c r="H882" s="13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U882" s="12"/>
      <c r="V882" s="12"/>
      <c r="W882" s="12"/>
      <c r="X882" s="12"/>
      <c r="Y882" s="12"/>
    </row>
    <row r="883" spans="3:25" x14ac:dyDescent="0.35">
      <c r="C883" s="27"/>
      <c r="E883" s="27"/>
      <c r="F883" s="27"/>
      <c r="G883" s="27"/>
      <c r="H883" s="13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U883" s="12"/>
      <c r="V883" s="12"/>
      <c r="W883" s="12"/>
      <c r="X883" s="12"/>
      <c r="Y883" s="12"/>
    </row>
    <row r="884" spans="3:25" x14ac:dyDescent="0.35">
      <c r="C884" s="27"/>
      <c r="E884" s="27"/>
      <c r="F884" s="27"/>
      <c r="G884" s="27"/>
      <c r="H884" s="13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U884" s="12"/>
      <c r="V884" s="12"/>
      <c r="W884" s="12"/>
      <c r="X884" s="12"/>
      <c r="Y884" s="12"/>
    </row>
    <row r="885" spans="3:25" x14ac:dyDescent="0.35">
      <c r="C885" s="27"/>
      <c r="E885" s="27"/>
      <c r="F885" s="27"/>
      <c r="G885" s="27"/>
      <c r="H885" s="13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U885" s="12"/>
      <c r="V885" s="12"/>
      <c r="W885" s="12"/>
      <c r="X885" s="12"/>
      <c r="Y885" s="12"/>
    </row>
    <row r="886" spans="3:25" x14ac:dyDescent="0.35">
      <c r="C886" s="27"/>
      <c r="E886" s="27"/>
      <c r="F886" s="27"/>
      <c r="G886" s="27"/>
      <c r="H886" s="13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U886" s="12"/>
      <c r="V886" s="12"/>
      <c r="W886" s="12"/>
      <c r="X886" s="12"/>
      <c r="Y886" s="12"/>
    </row>
    <row r="887" spans="3:25" x14ac:dyDescent="0.35">
      <c r="C887" s="27"/>
      <c r="E887" s="27"/>
      <c r="F887" s="27"/>
      <c r="G887" s="27"/>
      <c r="H887" s="13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U887" s="12"/>
      <c r="V887" s="12"/>
      <c r="W887" s="12"/>
      <c r="X887" s="12"/>
      <c r="Y887" s="12"/>
    </row>
    <row r="888" spans="3:25" x14ac:dyDescent="0.35">
      <c r="C888" s="27"/>
      <c r="E888" s="27"/>
      <c r="F888" s="27"/>
      <c r="G888" s="27"/>
      <c r="H888" s="13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U888" s="12"/>
      <c r="V888" s="12"/>
      <c r="W888" s="12"/>
      <c r="X888" s="12"/>
      <c r="Y888" s="12"/>
    </row>
    <row r="889" spans="3:25" x14ac:dyDescent="0.35">
      <c r="C889" s="27"/>
      <c r="E889" s="27"/>
      <c r="F889" s="27"/>
      <c r="G889" s="27"/>
      <c r="H889" s="13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U889" s="12"/>
      <c r="V889" s="12"/>
      <c r="W889" s="12"/>
      <c r="X889" s="12"/>
      <c r="Y889" s="12"/>
    </row>
    <row r="890" spans="3:25" x14ac:dyDescent="0.35">
      <c r="C890" s="27"/>
      <c r="E890" s="27"/>
      <c r="F890" s="27"/>
      <c r="G890" s="27"/>
      <c r="H890" s="13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U890" s="12"/>
      <c r="V890" s="12"/>
      <c r="W890" s="12"/>
      <c r="X890" s="12"/>
      <c r="Y890" s="12"/>
    </row>
    <row r="891" spans="3:25" x14ac:dyDescent="0.35">
      <c r="C891" s="27"/>
      <c r="E891" s="27"/>
      <c r="F891" s="27"/>
      <c r="G891" s="27"/>
      <c r="H891" s="13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U891" s="12"/>
      <c r="V891" s="12"/>
      <c r="W891" s="12"/>
      <c r="X891" s="12"/>
      <c r="Y891" s="12"/>
    </row>
    <row r="892" spans="3:25" x14ac:dyDescent="0.35">
      <c r="C892" s="27"/>
      <c r="E892" s="27"/>
      <c r="F892" s="27"/>
      <c r="G892" s="27"/>
      <c r="H892" s="13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U892" s="12"/>
      <c r="V892" s="12"/>
      <c r="W892" s="12"/>
      <c r="X892" s="12"/>
      <c r="Y892" s="12"/>
    </row>
    <row r="893" spans="3:25" x14ac:dyDescent="0.35">
      <c r="C893" s="27"/>
      <c r="E893" s="27"/>
      <c r="F893" s="27"/>
      <c r="G893" s="27"/>
      <c r="H893" s="13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U893" s="12"/>
      <c r="V893" s="12"/>
      <c r="W893" s="12"/>
      <c r="X893" s="12"/>
      <c r="Y893" s="12"/>
    </row>
    <row r="894" spans="3:25" x14ac:dyDescent="0.35">
      <c r="C894" s="27"/>
      <c r="E894" s="27"/>
      <c r="F894" s="27"/>
      <c r="G894" s="27"/>
      <c r="H894" s="13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U894" s="12"/>
      <c r="V894" s="12"/>
      <c r="W894" s="12"/>
      <c r="X894" s="12"/>
      <c r="Y894" s="12"/>
    </row>
    <row r="895" spans="3:25" x14ac:dyDescent="0.35">
      <c r="C895" s="27"/>
      <c r="E895" s="27"/>
      <c r="F895" s="27"/>
      <c r="G895" s="27"/>
      <c r="H895" s="13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U895" s="12"/>
      <c r="V895" s="12"/>
      <c r="W895" s="12"/>
      <c r="X895" s="12"/>
      <c r="Y895" s="12"/>
    </row>
    <row r="896" spans="3:25" x14ac:dyDescent="0.35">
      <c r="C896" s="27"/>
      <c r="E896" s="27"/>
      <c r="F896" s="27"/>
      <c r="G896" s="27"/>
      <c r="H896" s="13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U896" s="12"/>
      <c r="V896" s="12"/>
      <c r="W896" s="12"/>
      <c r="X896" s="12"/>
      <c r="Y896" s="12"/>
    </row>
    <row r="897" spans="3:25" x14ac:dyDescent="0.35">
      <c r="C897" s="27"/>
      <c r="E897" s="27"/>
      <c r="F897" s="27"/>
      <c r="G897" s="27"/>
      <c r="H897" s="13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U897" s="12"/>
      <c r="V897" s="12"/>
      <c r="W897" s="12"/>
      <c r="X897" s="12"/>
      <c r="Y897" s="12"/>
    </row>
    <row r="898" spans="3:25" x14ac:dyDescent="0.35">
      <c r="C898" s="27"/>
      <c r="E898" s="27"/>
      <c r="F898" s="27"/>
      <c r="G898" s="27"/>
      <c r="H898" s="13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U898" s="12"/>
      <c r="V898" s="12"/>
      <c r="W898" s="12"/>
      <c r="X898" s="12"/>
      <c r="Y898" s="12"/>
    </row>
    <row r="899" spans="3:25" x14ac:dyDescent="0.35">
      <c r="C899" s="27"/>
      <c r="E899" s="27"/>
      <c r="F899" s="27"/>
      <c r="G899" s="27"/>
      <c r="H899" s="13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U899" s="12"/>
      <c r="V899" s="12"/>
      <c r="W899" s="12"/>
      <c r="X899" s="12"/>
      <c r="Y899" s="12"/>
    </row>
    <row r="900" spans="3:25" x14ac:dyDescent="0.35">
      <c r="C900" s="27"/>
      <c r="E900" s="27"/>
      <c r="F900" s="27"/>
      <c r="G900" s="27"/>
      <c r="H900" s="13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U900" s="12"/>
      <c r="V900" s="12"/>
      <c r="W900" s="12"/>
      <c r="X900" s="12"/>
      <c r="Y900" s="12"/>
    </row>
    <row r="901" spans="3:25" x14ac:dyDescent="0.35">
      <c r="C901" s="27"/>
      <c r="E901" s="27"/>
      <c r="F901" s="27"/>
      <c r="G901" s="27"/>
      <c r="H901" s="13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U901" s="12"/>
      <c r="V901" s="12"/>
      <c r="W901" s="12"/>
      <c r="X901" s="12"/>
      <c r="Y901" s="12"/>
    </row>
    <row r="902" spans="3:25" x14ac:dyDescent="0.35">
      <c r="C902" s="27"/>
      <c r="E902" s="27"/>
      <c r="F902" s="27"/>
      <c r="G902" s="27"/>
      <c r="H902" s="13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U902" s="12"/>
      <c r="V902" s="12"/>
      <c r="W902" s="12"/>
      <c r="X902" s="12"/>
      <c r="Y902" s="12"/>
    </row>
    <row r="903" spans="3:25" x14ac:dyDescent="0.35">
      <c r="C903" s="27"/>
      <c r="E903" s="27"/>
      <c r="F903" s="27"/>
      <c r="G903" s="27"/>
      <c r="H903" s="13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U903" s="12"/>
      <c r="V903" s="12"/>
      <c r="W903" s="12"/>
      <c r="X903" s="12"/>
      <c r="Y903" s="12"/>
    </row>
    <row r="904" spans="3:25" x14ac:dyDescent="0.35">
      <c r="C904" s="27"/>
      <c r="E904" s="27"/>
      <c r="F904" s="27"/>
      <c r="G904" s="27"/>
      <c r="H904" s="13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U904" s="12"/>
      <c r="V904" s="12"/>
      <c r="W904" s="12"/>
      <c r="X904" s="12"/>
      <c r="Y904" s="12"/>
    </row>
    <row r="905" spans="3:25" x14ac:dyDescent="0.35">
      <c r="C905" s="27"/>
      <c r="E905" s="27"/>
      <c r="F905" s="27"/>
      <c r="G905" s="27"/>
      <c r="H905" s="13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U905" s="12"/>
      <c r="V905" s="12"/>
      <c r="W905" s="12"/>
      <c r="X905" s="12"/>
      <c r="Y905" s="12"/>
    </row>
    <row r="906" spans="3:25" x14ac:dyDescent="0.35">
      <c r="C906" s="27"/>
      <c r="E906" s="27"/>
      <c r="F906" s="27"/>
      <c r="G906" s="27"/>
      <c r="H906" s="13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U906" s="12"/>
      <c r="V906" s="12"/>
      <c r="W906" s="12"/>
      <c r="X906" s="12"/>
      <c r="Y906" s="12"/>
    </row>
    <row r="907" spans="3:25" x14ac:dyDescent="0.35">
      <c r="C907" s="27"/>
      <c r="E907" s="27"/>
      <c r="F907" s="27"/>
      <c r="G907" s="27"/>
      <c r="H907" s="13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U907" s="12"/>
      <c r="V907" s="12"/>
      <c r="W907" s="12"/>
      <c r="X907" s="12"/>
      <c r="Y907" s="12"/>
    </row>
    <row r="908" spans="3:25" x14ac:dyDescent="0.35">
      <c r="C908" s="27"/>
      <c r="E908" s="27"/>
      <c r="F908" s="27"/>
      <c r="G908" s="27"/>
      <c r="H908" s="13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U908" s="12"/>
      <c r="V908" s="12"/>
      <c r="W908" s="12"/>
      <c r="X908" s="12"/>
      <c r="Y908" s="12"/>
    </row>
    <row r="909" spans="3:25" x14ac:dyDescent="0.35">
      <c r="C909" s="27"/>
      <c r="E909" s="27"/>
      <c r="F909" s="27"/>
      <c r="G909" s="27"/>
      <c r="H909" s="13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U909" s="12"/>
      <c r="V909" s="12"/>
      <c r="W909" s="12"/>
      <c r="X909" s="12"/>
      <c r="Y909" s="12"/>
    </row>
    <row r="910" spans="3:25" x14ac:dyDescent="0.35">
      <c r="C910" s="27"/>
      <c r="E910" s="27"/>
      <c r="F910" s="27"/>
      <c r="G910" s="27"/>
      <c r="H910" s="13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U910" s="12"/>
      <c r="V910" s="12"/>
      <c r="W910" s="12"/>
      <c r="X910" s="12"/>
      <c r="Y910" s="12"/>
    </row>
    <row r="911" spans="3:25" x14ac:dyDescent="0.35">
      <c r="C911" s="27"/>
      <c r="E911" s="27"/>
      <c r="F911" s="27"/>
      <c r="G911" s="27"/>
      <c r="H911" s="13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U911" s="12"/>
      <c r="V911" s="12"/>
      <c r="W911" s="12"/>
      <c r="X911" s="12"/>
      <c r="Y911" s="12"/>
    </row>
    <row r="912" spans="3:25" x14ac:dyDescent="0.35">
      <c r="C912" s="27"/>
      <c r="E912" s="27"/>
      <c r="F912" s="27"/>
      <c r="G912" s="27"/>
      <c r="H912" s="13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U912" s="12"/>
      <c r="V912" s="12"/>
      <c r="W912" s="12"/>
      <c r="X912" s="12"/>
      <c r="Y912" s="12"/>
    </row>
    <row r="913" spans="3:25" x14ac:dyDescent="0.35">
      <c r="C913" s="27"/>
      <c r="E913" s="27"/>
      <c r="F913" s="27"/>
      <c r="G913" s="27"/>
      <c r="H913" s="13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U913" s="12"/>
      <c r="V913" s="12"/>
      <c r="W913" s="12"/>
      <c r="X913" s="12"/>
      <c r="Y913" s="12"/>
    </row>
    <row r="914" spans="3:25" x14ac:dyDescent="0.35">
      <c r="C914" s="27"/>
      <c r="E914" s="27"/>
      <c r="F914" s="27"/>
      <c r="G914" s="27"/>
      <c r="H914" s="13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U914" s="12"/>
      <c r="V914" s="12"/>
      <c r="W914" s="12"/>
      <c r="X914" s="12"/>
      <c r="Y914" s="12"/>
    </row>
    <row r="915" spans="3:25" x14ac:dyDescent="0.35">
      <c r="C915" s="27"/>
      <c r="E915" s="27"/>
      <c r="F915" s="27"/>
      <c r="G915" s="27"/>
      <c r="H915" s="13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U915" s="12"/>
      <c r="V915" s="12"/>
      <c r="W915" s="12"/>
      <c r="X915" s="12"/>
      <c r="Y915" s="12"/>
    </row>
    <row r="916" spans="3:25" x14ac:dyDescent="0.35">
      <c r="C916" s="27"/>
      <c r="E916" s="27"/>
      <c r="F916" s="27"/>
      <c r="G916" s="27"/>
      <c r="H916" s="13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U916" s="12"/>
      <c r="V916" s="12"/>
      <c r="W916" s="12"/>
      <c r="X916" s="12"/>
      <c r="Y916" s="12"/>
    </row>
    <row r="917" spans="3:25" x14ac:dyDescent="0.35">
      <c r="C917" s="27"/>
      <c r="E917" s="27"/>
      <c r="F917" s="27"/>
      <c r="G917" s="27"/>
      <c r="H917" s="13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U917" s="12"/>
      <c r="V917" s="12"/>
      <c r="W917" s="12"/>
      <c r="X917" s="12"/>
      <c r="Y917" s="12"/>
    </row>
    <row r="918" spans="3:25" x14ac:dyDescent="0.35">
      <c r="C918" s="27"/>
      <c r="E918" s="27"/>
      <c r="F918" s="27"/>
      <c r="G918" s="27"/>
      <c r="H918" s="13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U918" s="12"/>
      <c r="V918" s="12"/>
      <c r="W918" s="12"/>
      <c r="X918" s="12"/>
      <c r="Y918" s="12"/>
    </row>
    <row r="919" spans="3:25" x14ac:dyDescent="0.35">
      <c r="C919" s="27"/>
      <c r="E919" s="27"/>
      <c r="F919" s="27"/>
      <c r="G919" s="27"/>
      <c r="H919" s="13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U919" s="12"/>
      <c r="V919" s="12"/>
      <c r="W919" s="12"/>
      <c r="X919" s="12"/>
      <c r="Y919" s="12"/>
    </row>
    <row r="920" spans="3:25" x14ac:dyDescent="0.35">
      <c r="C920" s="27"/>
      <c r="E920" s="27"/>
      <c r="F920" s="27"/>
      <c r="G920" s="27"/>
      <c r="H920" s="13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U920" s="12"/>
      <c r="V920" s="12"/>
      <c r="W920" s="12"/>
      <c r="X920" s="12"/>
      <c r="Y920" s="12"/>
    </row>
    <row r="921" spans="3:25" x14ac:dyDescent="0.35">
      <c r="C921" s="27"/>
      <c r="E921" s="27"/>
      <c r="F921" s="27"/>
      <c r="G921" s="27"/>
      <c r="H921" s="13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U921" s="12"/>
      <c r="V921" s="12"/>
      <c r="W921" s="12"/>
      <c r="X921" s="12"/>
      <c r="Y921" s="12"/>
    </row>
    <row r="922" spans="3:25" x14ac:dyDescent="0.35">
      <c r="C922" s="27"/>
      <c r="E922" s="27"/>
      <c r="F922" s="27"/>
      <c r="G922" s="27"/>
      <c r="H922" s="13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U922" s="12"/>
      <c r="V922" s="12"/>
      <c r="W922" s="12"/>
      <c r="X922" s="12"/>
      <c r="Y922" s="12"/>
    </row>
    <row r="923" spans="3:25" x14ac:dyDescent="0.35">
      <c r="C923" s="27"/>
      <c r="E923" s="27"/>
      <c r="F923" s="27"/>
      <c r="G923" s="27"/>
      <c r="H923" s="13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U923" s="12"/>
      <c r="V923" s="12"/>
      <c r="W923" s="12"/>
      <c r="X923" s="12"/>
      <c r="Y923" s="12"/>
    </row>
    <row r="924" spans="3:25" x14ac:dyDescent="0.35">
      <c r="C924" s="27"/>
      <c r="E924" s="27"/>
      <c r="F924" s="27"/>
      <c r="G924" s="27"/>
      <c r="H924" s="13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U924" s="12"/>
      <c r="V924" s="12"/>
      <c r="W924" s="12"/>
      <c r="X924" s="12"/>
      <c r="Y924" s="12"/>
    </row>
    <row r="925" spans="3:25" x14ac:dyDescent="0.35">
      <c r="C925" s="27"/>
      <c r="E925" s="27"/>
      <c r="F925" s="27"/>
      <c r="G925" s="27"/>
      <c r="H925" s="13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U925" s="12"/>
      <c r="V925" s="12"/>
      <c r="W925" s="12"/>
      <c r="X925" s="12"/>
      <c r="Y925" s="12"/>
    </row>
    <row r="926" spans="3:25" x14ac:dyDescent="0.35">
      <c r="C926" s="27"/>
      <c r="E926" s="27"/>
      <c r="F926" s="27"/>
      <c r="G926" s="27"/>
      <c r="H926" s="13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U926" s="12"/>
      <c r="V926" s="12"/>
      <c r="W926" s="12"/>
      <c r="X926" s="12"/>
      <c r="Y926" s="12"/>
    </row>
    <row r="927" spans="3:25" x14ac:dyDescent="0.35">
      <c r="C927" s="27"/>
      <c r="E927" s="27"/>
      <c r="F927" s="27"/>
      <c r="G927" s="27"/>
      <c r="H927" s="13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U927" s="12"/>
      <c r="V927" s="12"/>
      <c r="W927" s="12"/>
      <c r="X927" s="12"/>
      <c r="Y927" s="12"/>
    </row>
    <row r="928" spans="3:25" x14ac:dyDescent="0.35">
      <c r="C928" s="27"/>
      <c r="E928" s="27"/>
      <c r="F928" s="27"/>
      <c r="G928" s="27"/>
      <c r="H928" s="13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U928" s="12"/>
      <c r="V928" s="12"/>
      <c r="W928" s="12"/>
      <c r="X928" s="12"/>
      <c r="Y928" s="12"/>
    </row>
    <row r="929" spans="3:25" x14ac:dyDescent="0.35">
      <c r="C929" s="27"/>
      <c r="E929" s="27"/>
      <c r="F929" s="27"/>
      <c r="G929" s="27"/>
      <c r="H929" s="13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U929" s="12"/>
      <c r="V929" s="12"/>
      <c r="W929" s="12"/>
      <c r="X929" s="12"/>
      <c r="Y929" s="12"/>
    </row>
    <row r="930" spans="3:25" x14ac:dyDescent="0.35">
      <c r="C930" s="27"/>
      <c r="E930" s="27"/>
      <c r="F930" s="27"/>
      <c r="G930" s="27"/>
      <c r="H930" s="13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U930" s="12"/>
      <c r="V930" s="12"/>
      <c r="W930" s="12"/>
      <c r="X930" s="12"/>
      <c r="Y930" s="12"/>
    </row>
    <row r="931" spans="3:25" x14ac:dyDescent="0.35">
      <c r="C931" s="27"/>
      <c r="E931" s="27"/>
      <c r="F931" s="27"/>
      <c r="G931" s="27"/>
      <c r="H931" s="13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U931" s="12"/>
      <c r="V931" s="12"/>
      <c r="W931" s="12"/>
      <c r="X931" s="12"/>
      <c r="Y931" s="12"/>
    </row>
    <row r="932" spans="3:25" x14ac:dyDescent="0.35">
      <c r="C932" s="27"/>
      <c r="E932" s="27"/>
      <c r="F932" s="27"/>
      <c r="G932" s="27"/>
      <c r="H932" s="13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U932" s="12"/>
      <c r="V932" s="12"/>
      <c r="W932" s="12"/>
      <c r="X932" s="12"/>
      <c r="Y932" s="12"/>
    </row>
    <row r="933" spans="3:25" x14ac:dyDescent="0.35">
      <c r="C933" s="27"/>
      <c r="E933" s="27"/>
      <c r="F933" s="27"/>
      <c r="G933" s="27"/>
      <c r="H933" s="13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U933" s="12"/>
      <c r="V933" s="12"/>
      <c r="W933" s="12"/>
      <c r="X933" s="12"/>
      <c r="Y933" s="12"/>
    </row>
    <row r="934" spans="3:25" x14ac:dyDescent="0.35">
      <c r="C934" s="27"/>
      <c r="E934" s="27"/>
      <c r="F934" s="27"/>
      <c r="G934" s="27"/>
      <c r="H934" s="13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U934" s="12"/>
      <c r="V934" s="12"/>
      <c r="W934" s="12"/>
      <c r="X934" s="12"/>
      <c r="Y934" s="12"/>
    </row>
    <row r="935" spans="3:25" x14ac:dyDescent="0.35">
      <c r="C935" s="27"/>
      <c r="E935" s="27"/>
      <c r="F935" s="27"/>
      <c r="G935" s="27"/>
      <c r="H935" s="13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U935" s="12"/>
      <c r="V935" s="12"/>
      <c r="W935" s="12"/>
      <c r="X935" s="12"/>
      <c r="Y935" s="12"/>
    </row>
    <row r="936" spans="3:25" x14ac:dyDescent="0.35">
      <c r="C936" s="27"/>
      <c r="E936" s="27"/>
      <c r="F936" s="27"/>
      <c r="G936" s="27"/>
      <c r="H936" s="13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U936" s="12"/>
      <c r="V936" s="12"/>
      <c r="W936" s="12"/>
      <c r="X936" s="12"/>
      <c r="Y936" s="12"/>
    </row>
    <row r="937" spans="3:25" x14ac:dyDescent="0.35">
      <c r="C937" s="27"/>
      <c r="E937" s="27"/>
      <c r="F937" s="27"/>
      <c r="G937" s="27"/>
      <c r="H937" s="13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U937" s="12"/>
      <c r="V937" s="12"/>
      <c r="W937" s="12"/>
      <c r="X937" s="12"/>
      <c r="Y937" s="12"/>
    </row>
    <row r="938" spans="3:25" x14ac:dyDescent="0.35">
      <c r="C938" s="27"/>
      <c r="E938" s="27"/>
      <c r="F938" s="27"/>
      <c r="G938" s="27"/>
      <c r="H938" s="13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U938" s="12"/>
      <c r="V938" s="12"/>
      <c r="W938" s="12"/>
      <c r="X938" s="12"/>
      <c r="Y938" s="12"/>
    </row>
    <row r="939" spans="3:25" x14ac:dyDescent="0.35">
      <c r="C939" s="27"/>
      <c r="E939" s="27"/>
      <c r="F939" s="27"/>
      <c r="G939" s="27"/>
      <c r="H939" s="13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U939" s="12"/>
      <c r="V939" s="12"/>
      <c r="W939" s="12"/>
      <c r="X939" s="12"/>
      <c r="Y939" s="12"/>
    </row>
    <row r="940" spans="3:25" x14ac:dyDescent="0.35">
      <c r="C940" s="27"/>
      <c r="E940" s="27"/>
      <c r="F940" s="27"/>
      <c r="G940" s="27"/>
      <c r="H940" s="13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U940" s="12"/>
      <c r="V940" s="12"/>
      <c r="W940" s="12"/>
      <c r="X940" s="12"/>
      <c r="Y940" s="12"/>
    </row>
    <row r="941" spans="3:25" x14ac:dyDescent="0.35">
      <c r="C941" s="27"/>
      <c r="E941" s="27"/>
      <c r="F941" s="27"/>
      <c r="G941" s="27"/>
      <c r="H941" s="13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U941" s="12"/>
      <c r="V941" s="12"/>
      <c r="W941" s="12"/>
      <c r="X941" s="12"/>
      <c r="Y941" s="12"/>
    </row>
    <row r="942" spans="3:25" x14ac:dyDescent="0.35">
      <c r="C942" s="27"/>
      <c r="E942" s="27"/>
      <c r="F942" s="27"/>
      <c r="G942" s="27"/>
      <c r="H942" s="13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U942" s="12"/>
      <c r="V942" s="12"/>
      <c r="W942" s="12"/>
      <c r="X942" s="12"/>
      <c r="Y942" s="12"/>
    </row>
    <row r="943" spans="3:25" x14ac:dyDescent="0.35">
      <c r="C943" s="27"/>
      <c r="E943" s="27"/>
      <c r="F943" s="27"/>
      <c r="G943" s="27"/>
      <c r="H943" s="13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U943" s="12"/>
      <c r="V943" s="12"/>
      <c r="W943" s="12"/>
      <c r="X943" s="12"/>
      <c r="Y943" s="12"/>
    </row>
    <row r="944" spans="3:25" x14ac:dyDescent="0.35">
      <c r="C944" s="27"/>
      <c r="E944" s="27"/>
      <c r="F944" s="27"/>
      <c r="G944" s="27"/>
      <c r="H944" s="13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U944" s="12"/>
      <c r="V944" s="12"/>
      <c r="W944" s="12"/>
      <c r="X944" s="12"/>
      <c r="Y944" s="12"/>
    </row>
    <row r="945" spans="3:25" x14ac:dyDescent="0.35">
      <c r="C945" s="27"/>
      <c r="E945" s="27"/>
      <c r="F945" s="27"/>
      <c r="G945" s="27"/>
      <c r="H945" s="13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U945" s="12"/>
      <c r="V945" s="12"/>
      <c r="W945" s="12"/>
      <c r="X945" s="12"/>
      <c r="Y945" s="12"/>
    </row>
    <row r="946" spans="3:25" x14ac:dyDescent="0.35">
      <c r="C946" s="27"/>
      <c r="E946" s="27"/>
      <c r="F946" s="27"/>
      <c r="G946" s="27"/>
      <c r="H946" s="13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U946" s="12"/>
      <c r="V946" s="12"/>
      <c r="W946" s="12"/>
      <c r="X946" s="12"/>
      <c r="Y946" s="12"/>
    </row>
    <row r="947" spans="3:25" x14ac:dyDescent="0.35">
      <c r="C947" s="27"/>
      <c r="E947" s="27"/>
      <c r="F947" s="27"/>
      <c r="G947" s="27"/>
      <c r="H947" s="13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U947" s="12"/>
      <c r="V947" s="12"/>
      <c r="W947" s="12"/>
      <c r="X947" s="12"/>
      <c r="Y947" s="12"/>
    </row>
    <row r="948" spans="3:25" x14ac:dyDescent="0.35">
      <c r="C948" s="27"/>
      <c r="E948" s="27"/>
      <c r="F948" s="27"/>
      <c r="G948" s="27"/>
      <c r="H948" s="13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U948" s="12"/>
      <c r="V948" s="12"/>
      <c r="W948" s="12"/>
      <c r="X948" s="12"/>
      <c r="Y948" s="12"/>
    </row>
    <row r="949" spans="3:25" x14ac:dyDescent="0.35">
      <c r="C949" s="27"/>
      <c r="E949" s="27"/>
      <c r="F949" s="27"/>
      <c r="G949" s="27"/>
      <c r="H949" s="13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U949" s="12"/>
      <c r="V949" s="12"/>
      <c r="W949" s="12"/>
      <c r="X949" s="12"/>
      <c r="Y949" s="12"/>
    </row>
    <row r="950" spans="3:25" x14ac:dyDescent="0.35">
      <c r="C950" s="27"/>
      <c r="E950" s="27"/>
      <c r="F950" s="27"/>
      <c r="G950" s="27"/>
      <c r="H950" s="13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U950" s="12"/>
      <c r="V950" s="12"/>
      <c r="W950" s="12"/>
      <c r="X950" s="12"/>
      <c r="Y950" s="12"/>
    </row>
    <row r="951" spans="3:25" x14ac:dyDescent="0.35">
      <c r="C951" s="27"/>
      <c r="E951" s="27"/>
      <c r="F951" s="27"/>
      <c r="G951" s="27"/>
      <c r="H951" s="13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U951" s="12"/>
      <c r="V951" s="12"/>
      <c r="W951" s="12"/>
      <c r="X951" s="12"/>
      <c r="Y951" s="12"/>
    </row>
    <row r="952" spans="3:25" x14ac:dyDescent="0.35">
      <c r="C952" s="27"/>
      <c r="E952" s="27"/>
      <c r="F952" s="27"/>
      <c r="G952" s="27"/>
      <c r="H952" s="13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U952" s="12"/>
      <c r="V952" s="12"/>
      <c r="W952" s="12"/>
      <c r="X952" s="12"/>
      <c r="Y952" s="12"/>
    </row>
    <row r="953" spans="3:25" x14ac:dyDescent="0.35">
      <c r="C953" s="27"/>
      <c r="E953" s="27"/>
      <c r="F953" s="27"/>
      <c r="G953" s="27"/>
      <c r="H953" s="13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U953" s="12"/>
      <c r="V953" s="12"/>
      <c r="W953" s="12"/>
      <c r="X953" s="12"/>
      <c r="Y953" s="12"/>
    </row>
    <row r="954" spans="3:25" x14ac:dyDescent="0.35">
      <c r="C954" s="27"/>
      <c r="E954" s="27"/>
      <c r="F954" s="27"/>
      <c r="G954" s="27"/>
      <c r="H954" s="13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U954" s="12"/>
      <c r="V954" s="12"/>
      <c r="W954" s="12"/>
      <c r="X954" s="12"/>
      <c r="Y954" s="12"/>
    </row>
    <row r="955" spans="3:25" x14ac:dyDescent="0.35">
      <c r="C955" s="27"/>
      <c r="E955" s="27"/>
      <c r="F955" s="27"/>
      <c r="G955" s="27"/>
      <c r="H955" s="13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U955" s="12"/>
      <c r="V955" s="12"/>
      <c r="W955" s="12"/>
      <c r="X955" s="12"/>
      <c r="Y955" s="12"/>
    </row>
    <row r="956" spans="3:25" x14ac:dyDescent="0.35">
      <c r="C956" s="27"/>
      <c r="E956" s="27"/>
      <c r="F956" s="27"/>
      <c r="G956" s="27"/>
      <c r="H956" s="13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U956" s="12"/>
      <c r="V956" s="12"/>
      <c r="W956" s="12"/>
      <c r="X956" s="12"/>
      <c r="Y956" s="12"/>
    </row>
    <row r="957" spans="3:25" x14ac:dyDescent="0.35">
      <c r="C957" s="27"/>
      <c r="E957" s="27"/>
      <c r="F957" s="27"/>
      <c r="G957" s="27"/>
      <c r="H957" s="13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U957" s="12"/>
      <c r="V957" s="12"/>
      <c r="W957" s="12"/>
      <c r="X957" s="12"/>
      <c r="Y957" s="12"/>
    </row>
    <row r="958" spans="3:25" x14ac:dyDescent="0.35">
      <c r="C958" s="27"/>
      <c r="E958" s="27"/>
      <c r="F958" s="27"/>
      <c r="G958" s="27"/>
      <c r="H958" s="13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U958" s="12"/>
      <c r="V958" s="12"/>
      <c r="W958" s="12"/>
      <c r="X958" s="12"/>
      <c r="Y958" s="12"/>
    </row>
    <row r="959" spans="3:25" x14ac:dyDescent="0.35">
      <c r="C959" s="27"/>
      <c r="E959" s="27"/>
      <c r="F959" s="27"/>
      <c r="G959" s="27"/>
      <c r="H959" s="13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U959" s="12"/>
      <c r="V959" s="12"/>
      <c r="W959" s="12"/>
      <c r="X959" s="12"/>
      <c r="Y959" s="12"/>
    </row>
    <row r="960" spans="3:25" x14ac:dyDescent="0.35">
      <c r="C960" s="27"/>
      <c r="E960" s="27"/>
      <c r="F960" s="27"/>
      <c r="G960" s="27"/>
      <c r="H960" s="13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U960" s="12"/>
      <c r="V960" s="12"/>
      <c r="W960" s="12"/>
      <c r="X960" s="12"/>
      <c r="Y960" s="12"/>
    </row>
    <row r="961" spans="3:25" x14ac:dyDescent="0.35">
      <c r="C961" s="27"/>
      <c r="E961" s="27"/>
      <c r="F961" s="27"/>
      <c r="G961" s="27"/>
      <c r="H961" s="13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U961" s="12"/>
      <c r="V961" s="12"/>
      <c r="W961" s="12"/>
      <c r="X961" s="12"/>
      <c r="Y961" s="12"/>
    </row>
    <row r="962" spans="3:25" x14ac:dyDescent="0.35">
      <c r="C962" s="27"/>
      <c r="E962" s="27"/>
      <c r="F962" s="27"/>
      <c r="G962" s="27"/>
      <c r="H962" s="13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U962" s="12"/>
      <c r="V962" s="12"/>
      <c r="W962" s="12"/>
      <c r="X962" s="12"/>
      <c r="Y962" s="12"/>
    </row>
    <row r="963" spans="3:25" x14ac:dyDescent="0.35">
      <c r="C963" s="27"/>
      <c r="E963" s="27"/>
      <c r="F963" s="27"/>
      <c r="G963" s="27"/>
      <c r="H963" s="13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U963" s="12"/>
      <c r="V963" s="12"/>
      <c r="W963" s="12"/>
      <c r="X963" s="12"/>
      <c r="Y963" s="12"/>
    </row>
    <row r="964" spans="3:25" x14ac:dyDescent="0.35">
      <c r="C964" s="27"/>
      <c r="E964" s="27"/>
      <c r="F964" s="27"/>
      <c r="G964" s="27"/>
      <c r="H964" s="13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U964" s="12"/>
      <c r="V964" s="12"/>
      <c r="W964" s="12"/>
      <c r="X964" s="12"/>
      <c r="Y964" s="12"/>
    </row>
    <row r="965" spans="3:25" x14ac:dyDescent="0.35">
      <c r="C965" s="27"/>
      <c r="E965" s="27"/>
      <c r="F965" s="27"/>
      <c r="G965" s="27"/>
      <c r="H965" s="13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U965" s="12"/>
      <c r="V965" s="12"/>
      <c r="W965" s="12"/>
      <c r="X965" s="12"/>
      <c r="Y965" s="12"/>
    </row>
    <row r="966" spans="3:25" x14ac:dyDescent="0.35">
      <c r="C966" s="27"/>
      <c r="E966" s="27"/>
      <c r="F966" s="27"/>
      <c r="G966" s="27"/>
      <c r="H966" s="13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U966" s="12"/>
      <c r="V966" s="12"/>
      <c r="W966" s="12"/>
      <c r="X966" s="12"/>
      <c r="Y966" s="12"/>
    </row>
    <row r="967" spans="3:25" x14ac:dyDescent="0.35">
      <c r="C967" s="27"/>
      <c r="E967" s="27"/>
      <c r="F967" s="27"/>
      <c r="G967" s="27"/>
      <c r="H967" s="13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U967" s="12"/>
      <c r="V967" s="12"/>
      <c r="W967" s="12"/>
      <c r="X967" s="12"/>
      <c r="Y967" s="12"/>
    </row>
    <row r="968" spans="3:25" x14ac:dyDescent="0.35">
      <c r="C968" s="27"/>
      <c r="E968" s="27"/>
      <c r="F968" s="27"/>
      <c r="G968" s="27"/>
      <c r="H968" s="13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U968" s="12"/>
      <c r="V968" s="12"/>
      <c r="W968" s="12"/>
      <c r="X968" s="12"/>
      <c r="Y968" s="12"/>
    </row>
    <row r="969" spans="3:25" x14ac:dyDescent="0.35">
      <c r="C969" s="27"/>
      <c r="E969" s="27"/>
      <c r="F969" s="27"/>
      <c r="G969" s="27"/>
      <c r="H969" s="13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U969" s="12"/>
      <c r="V969" s="12"/>
      <c r="W969" s="12"/>
      <c r="X969" s="12"/>
      <c r="Y969" s="12"/>
    </row>
    <row r="970" spans="3:25" x14ac:dyDescent="0.35">
      <c r="C970" s="27"/>
      <c r="E970" s="27"/>
      <c r="F970" s="27"/>
      <c r="G970" s="27"/>
      <c r="H970" s="13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U970" s="12"/>
      <c r="V970" s="12"/>
      <c r="W970" s="12"/>
      <c r="X970" s="12"/>
      <c r="Y970" s="12"/>
    </row>
    <row r="971" spans="3:25" x14ac:dyDescent="0.35">
      <c r="C971" s="27"/>
      <c r="E971" s="27"/>
      <c r="F971" s="27"/>
      <c r="G971" s="27"/>
      <c r="H971" s="13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U971" s="12"/>
      <c r="V971" s="12"/>
      <c r="W971" s="12"/>
      <c r="X971" s="12"/>
      <c r="Y971" s="12"/>
    </row>
    <row r="972" spans="3:25" x14ac:dyDescent="0.35">
      <c r="C972" s="27"/>
      <c r="E972" s="27"/>
      <c r="F972" s="27"/>
      <c r="G972" s="27"/>
      <c r="H972" s="13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U972" s="12"/>
      <c r="V972" s="12"/>
      <c r="W972" s="12"/>
      <c r="X972" s="12"/>
      <c r="Y972" s="12"/>
    </row>
    <row r="973" spans="3:25" x14ac:dyDescent="0.35">
      <c r="C973" s="27"/>
      <c r="E973" s="27"/>
      <c r="F973" s="27"/>
      <c r="G973" s="27"/>
      <c r="H973" s="13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U973" s="12"/>
      <c r="V973" s="12"/>
      <c r="W973" s="12"/>
      <c r="X973" s="12"/>
      <c r="Y973" s="12"/>
    </row>
    <row r="974" spans="3:25" x14ac:dyDescent="0.35">
      <c r="C974" s="27"/>
      <c r="E974" s="27"/>
      <c r="F974" s="27"/>
      <c r="G974" s="27"/>
      <c r="H974" s="13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U974" s="12"/>
      <c r="V974" s="12"/>
      <c r="W974" s="12"/>
      <c r="X974" s="12"/>
      <c r="Y974" s="12"/>
    </row>
    <row r="975" spans="3:25" x14ac:dyDescent="0.35">
      <c r="C975" s="27"/>
      <c r="E975" s="27"/>
      <c r="F975" s="27"/>
      <c r="G975" s="27"/>
      <c r="H975" s="13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U975" s="12"/>
      <c r="V975" s="12"/>
      <c r="W975" s="12"/>
      <c r="X975" s="12"/>
      <c r="Y975" s="12"/>
    </row>
    <row r="976" spans="3:25" x14ac:dyDescent="0.35">
      <c r="C976" s="27"/>
      <c r="E976" s="27"/>
      <c r="F976" s="27"/>
      <c r="G976" s="27"/>
      <c r="H976" s="13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U976" s="12"/>
      <c r="V976" s="12"/>
      <c r="W976" s="12"/>
      <c r="X976" s="12"/>
      <c r="Y976" s="12"/>
    </row>
    <row r="977" spans="3:25" x14ac:dyDescent="0.35">
      <c r="C977" s="27"/>
      <c r="E977" s="27"/>
      <c r="F977" s="27"/>
      <c r="G977" s="27"/>
      <c r="H977" s="13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U977" s="12"/>
      <c r="V977" s="12"/>
      <c r="W977" s="12"/>
      <c r="X977" s="12"/>
      <c r="Y977" s="12"/>
    </row>
    <row r="978" spans="3:25" x14ac:dyDescent="0.35">
      <c r="C978" s="27"/>
      <c r="E978" s="27"/>
      <c r="F978" s="27"/>
      <c r="G978" s="27"/>
      <c r="H978" s="13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U978" s="12"/>
      <c r="V978" s="12"/>
      <c r="W978" s="12"/>
      <c r="X978" s="12"/>
      <c r="Y978" s="12"/>
    </row>
    <row r="979" spans="3:25" x14ac:dyDescent="0.35">
      <c r="C979" s="27"/>
      <c r="E979" s="27"/>
      <c r="F979" s="27"/>
      <c r="G979" s="27"/>
      <c r="H979" s="13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U979" s="12"/>
      <c r="V979" s="12"/>
      <c r="W979" s="12"/>
      <c r="X979" s="12"/>
      <c r="Y979" s="12"/>
    </row>
    <row r="980" spans="3:25" x14ac:dyDescent="0.35">
      <c r="C980" s="27"/>
      <c r="E980" s="27"/>
      <c r="F980" s="27"/>
      <c r="G980" s="27"/>
      <c r="H980" s="13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U980" s="12"/>
      <c r="V980" s="12"/>
      <c r="W980" s="12"/>
      <c r="X980" s="12"/>
      <c r="Y980" s="12"/>
    </row>
    <row r="981" spans="3:25" x14ac:dyDescent="0.35">
      <c r="C981" s="27"/>
      <c r="E981" s="27"/>
      <c r="F981" s="27"/>
      <c r="G981" s="27"/>
      <c r="H981" s="13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U981" s="12"/>
      <c r="V981" s="12"/>
      <c r="W981" s="12"/>
      <c r="X981" s="12"/>
      <c r="Y981" s="12"/>
    </row>
    <row r="982" spans="3:25" x14ac:dyDescent="0.35">
      <c r="C982" s="27"/>
      <c r="E982" s="27"/>
      <c r="F982" s="27"/>
      <c r="G982" s="27"/>
      <c r="H982" s="13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U982" s="12"/>
      <c r="V982" s="12"/>
      <c r="W982" s="12"/>
      <c r="X982" s="12"/>
      <c r="Y982" s="12"/>
    </row>
    <row r="983" spans="3:25" x14ac:dyDescent="0.35">
      <c r="C983" s="27"/>
      <c r="E983" s="27"/>
      <c r="F983" s="27"/>
      <c r="G983" s="27"/>
      <c r="H983" s="13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U983" s="12"/>
      <c r="V983" s="12"/>
      <c r="W983" s="12"/>
      <c r="X983" s="12"/>
      <c r="Y983" s="12"/>
    </row>
    <row r="984" spans="3:25" x14ac:dyDescent="0.35">
      <c r="C984" s="27"/>
      <c r="E984" s="27"/>
      <c r="F984" s="27"/>
      <c r="G984" s="27"/>
      <c r="H984" s="13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U984" s="12"/>
      <c r="V984" s="12"/>
      <c r="W984" s="12"/>
      <c r="X984" s="12"/>
      <c r="Y984" s="12"/>
    </row>
    <row r="985" spans="3:25" x14ac:dyDescent="0.35">
      <c r="C985" s="27"/>
      <c r="E985" s="27"/>
      <c r="F985" s="27"/>
      <c r="G985" s="27"/>
      <c r="H985" s="13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U985" s="12"/>
      <c r="V985" s="12"/>
      <c r="W985" s="12"/>
      <c r="X985" s="12"/>
      <c r="Y985" s="12"/>
    </row>
    <row r="986" spans="3:25" x14ac:dyDescent="0.35">
      <c r="C986" s="27"/>
      <c r="E986" s="27"/>
      <c r="F986" s="27"/>
      <c r="G986" s="27"/>
      <c r="H986" s="13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U986" s="12"/>
      <c r="V986" s="12"/>
      <c r="W986" s="12"/>
      <c r="X986" s="12"/>
      <c r="Y986" s="12"/>
    </row>
    <row r="987" spans="3:25" x14ac:dyDescent="0.35">
      <c r="C987" s="27"/>
      <c r="E987" s="27"/>
      <c r="F987" s="27"/>
      <c r="G987" s="27"/>
      <c r="H987" s="13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U987" s="12"/>
      <c r="V987" s="12"/>
      <c r="W987" s="12"/>
      <c r="X987" s="12"/>
      <c r="Y987" s="12"/>
    </row>
    <row r="988" spans="3:25" x14ac:dyDescent="0.35">
      <c r="C988" s="27"/>
      <c r="E988" s="27"/>
      <c r="F988" s="27"/>
      <c r="G988" s="27"/>
      <c r="H988" s="13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U988" s="12"/>
      <c r="V988" s="12"/>
      <c r="W988" s="12"/>
      <c r="X988" s="12"/>
      <c r="Y988" s="12"/>
    </row>
    <row r="989" spans="3:25" x14ac:dyDescent="0.35">
      <c r="C989" s="27"/>
      <c r="E989" s="27"/>
      <c r="F989" s="27"/>
      <c r="G989" s="27"/>
      <c r="H989" s="13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U989" s="12"/>
      <c r="V989" s="12"/>
      <c r="W989" s="12"/>
      <c r="X989" s="12"/>
      <c r="Y989" s="12"/>
    </row>
    <row r="990" spans="3:25" x14ac:dyDescent="0.35">
      <c r="C990" s="27"/>
      <c r="E990" s="27"/>
      <c r="F990" s="27"/>
      <c r="G990" s="27"/>
      <c r="H990" s="13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U990" s="12"/>
      <c r="V990" s="12"/>
      <c r="W990" s="12"/>
      <c r="X990" s="12"/>
      <c r="Y990" s="12"/>
    </row>
    <row r="991" spans="3:25" x14ac:dyDescent="0.35">
      <c r="C991" s="27"/>
      <c r="E991" s="27"/>
      <c r="F991" s="27"/>
      <c r="G991" s="27"/>
      <c r="H991" s="13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U991" s="12"/>
      <c r="V991" s="12"/>
      <c r="W991" s="12"/>
      <c r="X991" s="12"/>
      <c r="Y991" s="12"/>
    </row>
    <row r="992" spans="3:25" x14ac:dyDescent="0.35">
      <c r="C992" s="27"/>
      <c r="E992" s="27"/>
      <c r="F992" s="27"/>
      <c r="G992" s="27"/>
      <c r="H992" s="13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U992" s="12"/>
      <c r="V992" s="12"/>
      <c r="W992" s="12"/>
      <c r="X992" s="12"/>
      <c r="Y992" s="12"/>
    </row>
    <row r="993" spans="3:25" x14ac:dyDescent="0.35">
      <c r="C993" s="27"/>
      <c r="E993" s="27"/>
      <c r="F993" s="27"/>
      <c r="G993" s="27"/>
      <c r="H993" s="13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U993" s="12"/>
      <c r="V993" s="12"/>
      <c r="W993" s="12"/>
      <c r="X993" s="12"/>
      <c r="Y993" s="12"/>
    </row>
    <row r="994" spans="3:25" x14ac:dyDescent="0.35">
      <c r="C994" s="27"/>
      <c r="E994" s="27"/>
      <c r="F994" s="27"/>
      <c r="G994" s="27"/>
      <c r="H994" s="13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U994" s="12"/>
      <c r="V994" s="12"/>
      <c r="W994" s="12"/>
      <c r="X994" s="12"/>
      <c r="Y994" s="12"/>
    </row>
    <row r="995" spans="3:25" x14ac:dyDescent="0.35">
      <c r="C995" s="27"/>
      <c r="E995" s="27"/>
      <c r="F995" s="27"/>
      <c r="G995" s="27"/>
      <c r="H995" s="13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U995" s="12"/>
      <c r="V995" s="12"/>
      <c r="W995" s="12"/>
      <c r="X995" s="12"/>
      <c r="Y995" s="12"/>
    </row>
    <row r="996" spans="3:25" x14ac:dyDescent="0.35">
      <c r="C996" s="27"/>
      <c r="E996" s="27"/>
      <c r="F996" s="27"/>
      <c r="G996" s="27"/>
      <c r="H996" s="13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U996" s="12"/>
      <c r="V996" s="12"/>
      <c r="W996" s="12"/>
      <c r="X996" s="12"/>
      <c r="Y996" s="12"/>
    </row>
    <row r="997" spans="3:25" x14ac:dyDescent="0.35">
      <c r="C997" s="27"/>
      <c r="E997" s="27"/>
      <c r="F997" s="27"/>
      <c r="G997" s="27"/>
      <c r="H997" s="13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U997" s="12"/>
      <c r="V997" s="12"/>
      <c r="W997" s="12"/>
      <c r="X997" s="12"/>
      <c r="Y997" s="12"/>
    </row>
    <row r="998" spans="3:25" x14ac:dyDescent="0.35">
      <c r="C998" s="27"/>
      <c r="E998" s="27"/>
      <c r="F998" s="27"/>
      <c r="G998" s="27"/>
      <c r="H998" s="13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U998" s="12"/>
      <c r="V998" s="12"/>
      <c r="W998" s="12"/>
      <c r="X998" s="12"/>
      <c r="Y998" s="12"/>
    </row>
    <row r="999" spans="3:25" x14ac:dyDescent="0.35">
      <c r="C999" s="27"/>
      <c r="E999" s="27"/>
      <c r="F999" s="27"/>
      <c r="G999" s="27"/>
      <c r="H999" s="13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U999" s="12"/>
      <c r="V999" s="12"/>
      <c r="W999" s="12"/>
      <c r="X999" s="12"/>
      <c r="Y999" s="12"/>
    </row>
    <row r="1000" spans="3:25" x14ac:dyDescent="0.35">
      <c r="C1000" s="27"/>
      <c r="E1000" s="27"/>
      <c r="F1000" s="27"/>
      <c r="G1000" s="27"/>
      <c r="H1000" s="13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U1000" s="12"/>
      <c r="V1000" s="12"/>
      <c r="W1000" s="12"/>
      <c r="X1000" s="12"/>
      <c r="Y1000" s="12"/>
    </row>
  </sheetData>
  <sheetProtection formatCells="0" formatColumns="0" formatRows="0" insertRows="0" deleteRows="0" sort="0" autoFilter="0"/>
  <mergeCells count="2">
    <mergeCell ref="A1:X1"/>
    <mergeCell ref="A2:X2"/>
  </mergeCells>
  <dataValidations count="11">
    <dataValidation type="list" allowBlank="1" sqref="B3:C3" xr:uid="{02675F6A-C4BE-498A-A2D3-0A5A11A1267F}">
      <formula1>SiteList</formula1>
    </dataValidation>
    <dataValidation type="list" errorStyle="warning" allowBlank="1" showInputMessage="1" showErrorMessage="1" errorTitle="Check value" error="Pick a value from the list (or override if needed)." sqref="J4:J1000 P4:P1000 V4:X1000" xr:uid="{36B8536D-B996-4062-ABDE-73C345CEFF33}">
      <formula1>YesNo_List</formula1>
    </dataValidation>
    <dataValidation type="list" errorStyle="warning" allowBlank="1" showInputMessage="1" showErrorMessage="1" errorTitle="Check value" error="Pick a value from the list (or override if needed)." sqref="K4:K1000" xr:uid="{F7CD0D75-8AAF-494F-B54B-27224A6BECA5}">
      <formula1>ComponentType_List</formula1>
    </dataValidation>
    <dataValidation type="list" errorStyle="warning" allowBlank="1" showInputMessage="1" showErrorMessage="1" errorTitle="Check value" error="Pick a value from the list (or override if needed)." promptTitle="Deficiency Category" prompt="Pick the category FIRST — it filters the Detailed Description and Failure Cause lists." sqref="M4:M1000" xr:uid="{95CA9791-2FDB-4927-AE05-D5DB1964531F}">
      <formula1>DefCat_List</formula1>
    </dataValidation>
    <dataValidation type="list" errorStyle="warning" allowBlank="1" showInputMessage="1" showErrorMessage="1" errorTitle="Check value" error="Pick a value from the list (or override if needed)." promptTitle="Detailed Description" prompt="Choose the Deficiency Category (column L) first, then select from the filtered list." sqref="N4:N1000" xr:uid="{0A6C479D-B273-48D8-91ED-BC025C4AE771}">
      <formula1>INDIRECT("Def_"&amp;LEFT($M4,FIND(" ",$M4)-1))</formula1>
    </dataValidation>
    <dataValidation type="list" errorStyle="warning" allowBlank="1" showInputMessage="1" showErrorMessage="1" errorTitle="Check value" error="Pick a value from the list (or override if needed)." promptTitle="Potential Failure Cause" prompt="Choose the Deficiency Category (column L) first to see relevant causes." sqref="O4:O1000" xr:uid="{C8303154-66F9-46FE-9294-52675B9A9441}">
      <formula1>INDIRECT("Mech_"&amp;LEFT($M4,FIND(" ",$M4)-1))</formula1>
    </dataValidation>
    <dataValidation type="list" errorStyle="warning" allowBlank="1" showInputMessage="1" showErrorMessage="1" errorTitle="Check value" error="Pick a value from the list (or override if needed)." sqref="Q4:R1000" xr:uid="{DA1416C1-F6C7-47F7-851F-4E523A70B17E}">
      <formula1>Risk_List</formula1>
    </dataValidation>
    <dataValidation type="list" errorStyle="warning" allowBlank="1" showInputMessage="1" showErrorMessage="1" errorTitle="Check value" error="Pick a value from the list (or override if needed)." sqref="S4:S1000" xr:uid="{CF2F5085-B89F-409D-897E-11B5A0370CAD}">
      <formula1>Priority_List</formula1>
    </dataValidation>
    <dataValidation allowBlank="1" showInputMessage="1" showErrorMessage="1" promptTitle="Inspection Date" prompt="Enter the date (format yyyy-mm-dd)." sqref="H4:H1000" xr:uid="{2588DFEB-5E28-4D51-9932-D0D6E324F7C3}"/>
    <dataValidation type="list" allowBlank="1" showInputMessage="1" showErrorMessage="1" sqref="Y4:Y1000" xr:uid="{035B65B8-80A5-4DEC-8CF7-2B42CE4B6D87}">
      <formula1>INDIRECT("Focus_"&amp;LEFT($M4,FIND(" ",$M4)-1))</formula1>
    </dataValidation>
    <dataValidation type="list" allowBlank="1" showInputMessage="1" showErrorMessage="1" sqref="L4:L1000" xr:uid="{B2654A2A-E6A3-4693-86F8-094E1947529E}">
      <formula1>INDIRECT("Sub_"&amp;SUBSTITUTE(SUBSTITUTE($K4," ",""),"&amp;",""))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9E72B-0B2B-4436-8A14-E6EA1E782C51}">
  <sheetPr>
    <tabColor theme="4"/>
  </sheetPr>
  <dimension ref="A1:H5"/>
  <sheetViews>
    <sheetView workbookViewId="0">
      <selection activeCell="C59" sqref="C59"/>
    </sheetView>
  </sheetViews>
  <sheetFormatPr defaultColWidth="8.81640625" defaultRowHeight="14.5" x14ac:dyDescent="0.35"/>
  <cols>
    <col min="1" max="1" width="15" style="1" customWidth="1"/>
    <col min="2" max="3" width="15.81640625" style="1" customWidth="1"/>
    <col min="4" max="4" width="50.81640625" style="1" bestFit="1" customWidth="1"/>
    <col min="5" max="5" width="25.54296875" style="3" customWidth="1"/>
    <col min="6" max="6" width="25.54296875" style="1" customWidth="1"/>
    <col min="7" max="7" width="39.81640625" style="1" customWidth="1"/>
    <col min="8" max="8" width="29.54296875" style="1" customWidth="1"/>
    <col min="9" max="16384" width="8.81640625" style="1"/>
  </cols>
  <sheetData>
    <row r="1" spans="1:8" ht="16" x14ac:dyDescent="0.35">
      <c r="A1" s="41" t="s">
        <v>91</v>
      </c>
      <c r="B1" s="41"/>
      <c r="C1" s="41"/>
      <c r="D1" s="41"/>
      <c r="E1" s="41"/>
      <c r="F1" s="41"/>
      <c r="G1" s="41"/>
      <c r="H1" s="41"/>
    </row>
    <row r="3" spans="1:8" x14ac:dyDescent="0.35">
      <c r="A3" s="2" t="s">
        <v>39</v>
      </c>
      <c r="B3" s="2" t="s">
        <v>24</v>
      </c>
      <c r="C3" s="2" t="s">
        <v>26</v>
      </c>
      <c r="D3" s="2" t="s">
        <v>25</v>
      </c>
      <c r="E3" s="4" t="s">
        <v>92</v>
      </c>
      <c r="F3" s="2" t="s">
        <v>41</v>
      </c>
      <c r="G3" s="1" t="s">
        <v>93</v>
      </c>
      <c r="H3" s="1" t="s">
        <v>94</v>
      </c>
    </row>
    <row r="4" spans="1:8" x14ac:dyDescent="0.35">
      <c r="A4" s="1" t="s">
        <v>61</v>
      </c>
      <c r="B4" s="1" t="s">
        <v>34</v>
      </c>
      <c r="D4" s="1" t="s">
        <v>35</v>
      </c>
      <c r="E4" s="3">
        <v>46205</v>
      </c>
      <c r="F4" s="1" t="s">
        <v>63</v>
      </c>
      <c r="G4" s="1" t="s">
        <v>95</v>
      </c>
      <c r="H4" s="1" t="s">
        <v>96</v>
      </c>
    </row>
    <row r="5" spans="1:8" x14ac:dyDescent="0.35">
      <c r="A5" s="1" t="s">
        <v>79</v>
      </c>
      <c r="B5" s="1" t="s">
        <v>34</v>
      </c>
      <c r="D5" s="1" t="s">
        <v>80</v>
      </c>
      <c r="E5" s="3">
        <v>46206</v>
      </c>
      <c r="F5" s="1" t="s">
        <v>81</v>
      </c>
      <c r="G5" s="1" t="s">
        <v>95</v>
      </c>
      <c r="H5" s="1" t="s">
        <v>609</v>
      </c>
    </row>
  </sheetData>
  <mergeCells count="1">
    <mergeCell ref="A1:H1"/>
  </mergeCells>
  <dataValidations count="1">
    <dataValidation type="list" allowBlank="1" sqref="B3:C3" xr:uid="{D322D831-7820-431B-B93B-C7E8A7646D22}">
      <formula1>SiteList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F9B76-A7E7-4823-86A3-D23AD8636CD4}">
  <sheetPr>
    <tabColor theme="5"/>
  </sheetPr>
  <dimension ref="A1:P42"/>
  <sheetViews>
    <sheetView showGridLines="0" workbookViewId="0">
      <selection activeCell="G18" sqref="G18"/>
    </sheetView>
  </sheetViews>
  <sheetFormatPr defaultRowHeight="14.5" x14ac:dyDescent="0.35"/>
  <cols>
    <col min="1" max="1" width="41.81640625" customWidth="1"/>
    <col min="2" max="2" width="10.54296875" customWidth="1"/>
    <col min="3" max="3" width="12.453125" customWidth="1"/>
    <col min="4" max="4" width="3.26953125" customWidth="1"/>
    <col min="5" max="5" width="25.453125" customWidth="1"/>
    <col min="6" max="6" width="10.54296875" customWidth="1"/>
    <col min="7" max="7" width="54.54296875" customWidth="1"/>
    <col min="8" max="11" width="16.7265625" customWidth="1"/>
  </cols>
  <sheetData>
    <row r="1" spans="1:16" ht="30" customHeight="1" x14ac:dyDescent="0.5">
      <c r="A1" s="47" t="s">
        <v>97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spans="1:16" x14ac:dyDescent="0.35">
      <c r="A2" s="48" t="s">
        <v>98</v>
      </c>
      <c r="B2" s="48"/>
      <c r="C2" s="48"/>
      <c r="D2" s="48"/>
      <c r="E2" s="48"/>
      <c r="F2" s="48"/>
      <c r="G2" s="48"/>
      <c r="H2" s="48"/>
      <c r="I2" s="48"/>
      <c r="J2" s="48"/>
      <c r="K2" s="48"/>
    </row>
    <row r="4" spans="1:16" x14ac:dyDescent="0.35">
      <c r="B4" s="43" t="s">
        <v>99</v>
      </c>
      <c r="C4" s="49"/>
      <c r="D4" s="43" t="s">
        <v>100</v>
      </c>
      <c r="E4" s="49"/>
      <c r="F4" s="43" t="s">
        <v>101</v>
      </c>
      <c r="G4" s="49"/>
      <c r="H4" s="43" t="s">
        <v>102</v>
      </c>
      <c r="I4" s="49"/>
      <c r="J4" s="43" t="s">
        <v>103</v>
      </c>
      <c r="K4" s="44"/>
    </row>
    <row r="5" spans="1:16" ht="28.5" x14ac:dyDescent="0.65">
      <c r="B5" s="45">
        <f>COUNTIF(Table3[Deficiency Category],"?*")</f>
        <v>2</v>
      </c>
      <c r="C5" s="50"/>
      <c r="D5" s="51">
        <f>COUNTIF(Table3[Priority Rating],"P1")</f>
        <v>1</v>
      </c>
      <c r="E5" s="52"/>
      <c r="F5" s="45">
        <f>COUNTIF(Table3[Immediate Site Notification],"Yes")</f>
        <v>2</v>
      </c>
      <c r="G5" s="50"/>
      <c r="H5" s="45">
        <f>COUNTIF(Table3[Further Investigation Required],"Yes")</f>
        <v>0</v>
      </c>
      <c r="I5" s="50"/>
      <c r="J5" s="45">
        <f>COUNTIF(Table3[NDT Required],"Yes")</f>
        <v>1</v>
      </c>
      <c r="K5" s="46"/>
    </row>
    <row r="8" spans="1:16" x14ac:dyDescent="0.35">
      <c r="A8" s="16" t="s">
        <v>104</v>
      </c>
      <c r="B8" s="17" t="s">
        <v>105</v>
      </c>
      <c r="C8" s="17" t="s">
        <v>106</v>
      </c>
      <c r="E8" s="16" t="s">
        <v>107</v>
      </c>
      <c r="F8" s="17" t="s">
        <v>105</v>
      </c>
      <c r="G8" s="17" t="s">
        <v>108</v>
      </c>
      <c r="P8" s="14" t="s">
        <v>109</v>
      </c>
    </row>
    <row r="9" spans="1:16" x14ac:dyDescent="0.35">
      <c r="A9" s="18" t="str">
        <f>Lookups!A2</f>
        <v>CML - Corrosion &amp; Material Loss</v>
      </c>
      <c r="B9" s="19">
        <f>COUNTIF(Table3[Deficiency Category],$A9)</f>
        <v>0</v>
      </c>
      <c r="C9" s="20">
        <f>IFERROR(B9/$B$24,0)</f>
        <v>0</v>
      </c>
      <c r="E9" s="24" t="str">
        <f>Details!I2</f>
        <v>P1</v>
      </c>
      <c r="F9" s="19">
        <f>COUNTIF(Table3[Priority Rating],$E9)</f>
        <v>1</v>
      </c>
      <c r="G9" s="26" t="str">
        <f>Details!J2</f>
        <v>Critical Condition - Immediate action required</v>
      </c>
      <c r="P9" s="15" t="str" cm="1">
        <f t="array" ref="P9:P18">_xlfn._xlws.SORT(_xlfn.UNIQUE(_xlfn._xlws.FILTER(Details!A2:A40,Details!A2:A40&lt;&gt;"")))</f>
        <v>Bell Mine</v>
      </c>
    </row>
    <row r="10" spans="1:16" x14ac:dyDescent="0.35">
      <c r="A10" s="18" t="str">
        <f>Lookups!A3</f>
        <v>CND - Concrete Deterioration</v>
      </c>
      <c r="B10" s="19">
        <f>COUNTIF(Table3[Deficiency Category],$A10)</f>
        <v>0</v>
      </c>
      <c r="C10" s="20">
        <f t="shared" ref="C10:C23" si="0">IFERROR(B10/$B$24,0)</f>
        <v>0</v>
      </c>
      <c r="E10" s="24" t="str">
        <f>Details!I3</f>
        <v>P2</v>
      </c>
      <c r="F10" s="19">
        <f>COUNTIF(Table3[Priority Rating],$E10)</f>
        <v>1</v>
      </c>
      <c r="G10" s="26" t="str">
        <f>Details!J3</f>
        <v>Poor Condition - Repair actions needed within 12 months</v>
      </c>
      <c r="P10" t="str">
        <v>Blackbird Mine</v>
      </c>
    </row>
    <row r="11" spans="1:16" x14ac:dyDescent="0.35">
      <c r="A11" s="18" t="str">
        <f>Lookups!A4</f>
        <v>CFI - Connection &amp; Joint Failures</v>
      </c>
      <c r="B11" s="19">
        <f>COUNTIF(Table3[Deficiency Category],$A11)</f>
        <v>0</v>
      </c>
      <c r="C11" s="20">
        <f t="shared" si="0"/>
        <v>0</v>
      </c>
      <c r="E11" s="24" t="str">
        <f>Details!I4</f>
        <v>P3</v>
      </c>
      <c r="F11" s="19">
        <f>COUNTIF(Table3[Priority Rating],$E11)</f>
        <v>0</v>
      </c>
      <c r="G11" s="26" t="str">
        <f>Details!J4</f>
        <v>Bad Condition - Repairs needed within 24 to 36 months</v>
      </c>
      <c r="P11" t="str">
        <v>Brenda Mine</v>
      </c>
    </row>
    <row r="12" spans="1:16" x14ac:dyDescent="0.35">
      <c r="A12" s="18" t="str">
        <f>Lookups!A5</f>
        <v>CRK - Cracking Mechanisms</v>
      </c>
      <c r="B12" s="19">
        <f>COUNTIF(Table3[Deficiency Category],$A12)</f>
        <v>0</v>
      </c>
      <c r="C12" s="20">
        <f t="shared" si="0"/>
        <v>0</v>
      </c>
      <c r="E12" s="24" t="str">
        <f>Details!I5</f>
        <v>P4</v>
      </c>
      <c r="F12" s="19">
        <f>COUNTIF(Table3[Priority Rating],$E12)</f>
        <v>0</v>
      </c>
      <c r="G12" s="26" t="str">
        <f>Details!J5</f>
        <v>Fair Condition - Monitor before next scheduled inspection</v>
      </c>
      <c r="P12" t="str">
        <v>Brunswick Mine</v>
      </c>
    </row>
    <row r="13" spans="1:16" x14ac:dyDescent="0.35">
      <c r="A13" s="18" t="str">
        <f>Lookups!A6</f>
        <v>DFI - Deformation &amp; Mechanical Damage</v>
      </c>
      <c r="B13" s="19">
        <f>COUNTIF(Table3[Deficiency Category],$A13)</f>
        <v>0</v>
      </c>
      <c r="C13" s="20">
        <f t="shared" si="0"/>
        <v>0</v>
      </c>
      <c r="E13" s="24" t="str">
        <f>Details!I6</f>
        <v>P5</v>
      </c>
      <c r="F13" s="19">
        <f>COUNTIF(Table3[Priority Rating],$E13)</f>
        <v>0</v>
      </c>
      <c r="G13" s="26" t="str">
        <f>Details!J6</f>
        <v>Good Condition - No repairs required</v>
      </c>
      <c r="P13" t="str">
        <v>Geco/Wilroy Mine</v>
      </c>
    </row>
    <row r="14" spans="1:16" x14ac:dyDescent="0.35">
      <c r="A14" s="18" t="str">
        <f>Lookups!A7</f>
        <v>EWF - Envelope Failure</v>
      </c>
      <c r="B14" s="19">
        <f>COUNTIF(Table3[Deficiency Category],$A14)</f>
        <v>2</v>
      </c>
      <c r="C14" s="20">
        <f t="shared" si="0"/>
        <v>1</v>
      </c>
      <c r="E14" s="21" t="s">
        <v>110</v>
      </c>
      <c r="F14" s="22">
        <f>SUM(F9:F13)</f>
        <v>2</v>
      </c>
      <c r="G14" s="25"/>
      <c r="P14" t="str">
        <v>Grey Eagle Mine</v>
      </c>
    </row>
    <row r="15" spans="1:16" x14ac:dyDescent="0.35">
      <c r="A15" s="18" t="str">
        <f>Lookups!A8</f>
        <v>ENV - Environmental &amp; External Damage</v>
      </c>
      <c r="B15" s="19">
        <f>COUNTIF(Table3[Deficiency Category],$A15)</f>
        <v>0</v>
      </c>
      <c r="C15" s="20">
        <f t="shared" si="0"/>
        <v>0</v>
      </c>
      <c r="P15" t="str">
        <v>Heath Steele Mine</v>
      </c>
    </row>
    <row r="16" spans="1:16" x14ac:dyDescent="0.35">
      <c r="A16" s="18" t="str">
        <f>Lookups!A9</f>
        <v>FDS - Foundation &amp; Settlement</v>
      </c>
      <c r="B16" s="19">
        <f>COUNTIF(Table3[Deficiency Category],$A16)</f>
        <v>0</v>
      </c>
      <c r="C16" s="20">
        <f t="shared" si="0"/>
        <v>0</v>
      </c>
      <c r="E16" s="16" t="s">
        <v>111</v>
      </c>
      <c r="F16" s="17" t="s">
        <v>105</v>
      </c>
      <c r="P16" t="str">
        <v>Matagami Mine</v>
      </c>
    </row>
    <row r="17" spans="1:16" x14ac:dyDescent="0.35">
      <c r="A17" s="18" t="str">
        <f>Lookups!A10</f>
        <v>GHK - General Housekeeping &amp; Maintenance</v>
      </c>
      <c r="B17" s="19">
        <f>COUNTIF(Table3[Deficiency Category],$A17)</f>
        <v>0</v>
      </c>
      <c r="C17" s="20">
        <f t="shared" si="0"/>
        <v>0</v>
      </c>
      <c r="E17" s="25" t="str" cm="1">
        <f t="array" ref="E17">IFERROR(INDEX(_xlfn.ANCHORARRAY($P$9),ROW()-16),"")</f>
        <v>Bell Mine</v>
      </c>
      <c r="F17" s="19">
        <f>IF($E17="","",COUNTIFS(Table3[Site],$E17,Table3[Deficiency Category],"?*"))</f>
        <v>2</v>
      </c>
      <c r="P17" t="str">
        <v>Mattabi Mine</v>
      </c>
    </row>
    <row r="18" spans="1:16" x14ac:dyDescent="0.35">
      <c r="A18" s="18" t="str">
        <f>Lookups!A11</f>
        <v>MSI - Modification &amp; Structural Integrity</v>
      </c>
      <c r="B18" s="19">
        <f>COUNTIF(Table3[Deficiency Category],$A18)</f>
        <v>0</v>
      </c>
      <c r="C18" s="20">
        <f t="shared" si="0"/>
        <v>0</v>
      </c>
      <c r="E18" s="25" t="str" cm="1">
        <f t="array" ref="E18">IFERROR(INDEX(_xlfn.ANCHORARRAY($P$9),ROW()-16),"")</f>
        <v>Blackbird Mine</v>
      </c>
      <c r="F18" s="19">
        <f>IF($E18="","",COUNTIFS(Table3[Site],$E18,Table3[Deficiency Category],"?*"))</f>
        <v>0</v>
      </c>
      <c r="P18" t="str">
        <v>Montcalm Mine</v>
      </c>
    </row>
    <row r="19" spans="1:16" x14ac:dyDescent="0.35">
      <c r="A19" s="18" t="str">
        <f>Lookups!A12</f>
        <v>THR - Fire &amp; Thermal Damage</v>
      </c>
      <c r="B19" s="19">
        <f>COUNTIF(Table3[Deficiency Category],$A19)</f>
        <v>0</v>
      </c>
      <c r="C19" s="20">
        <f t="shared" si="0"/>
        <v>0</v>
      </c>
      <c r="E19" s="25" t="str" cm="1">
        <f t="array" ref="E19">IFERROR(INDEX(_xlfn.ANCHORARRAY($P$9),ROW()-16),"")</f>
        <v>Brenda Mine</v>
      </c>
      <c r="F19" s="19">
        <f>IF($E19="","",COUNTIFS(Table3[Site],$E19,Table3[Deficiency Category],"?*"))</f>
        <v>0</v>
      </c>
    </row>
    <row r="20" spans="1:16" x14ac:dyDescent="0.35">
      <c r="A20" s="18" t="str">
        <f>Lookups!A13</f>
        <v>SIE - Soil Instability &amp; Erosion</v>
      </c>
      <c r="B20" s="19">
        <f>COUNTIF(Table3[Deficiency Category],$A20)</f>
        <v>0</v>
      </c>
      <c r="C20" s="20">
        <f t="shared" si="0"/>
        <v>0</v>
      </c>
      <c r="E20" s="25" t="str" cm="1">
        <f t="array" ref="E20">IFERROR(INDEX(_xlfn.ANCHORARRAY($P$9),ROW()-16),"")</f>
        <v>Brunswick Mine</v>
      </c>
      <c r="F20" s="19">
        <f>IF($E20="","",COUNTIFS(Table3[Site],$E20,Table3[Deficiency Category],"?*"))</f>
        <v>0</v>
      </c>
    </row>
    <row r="21" spans="1:16" x14ac:dyDescent="0.35">
      <c r="A21" s="18" t="str">
        <f>Lookups!A14</f>
        <v>FH - Frost Heave</v>
      </c>
      <c r="B21" s="19">
        <f>COUNTIF(Table3[Deficiency Category],$A21)</f>
        <v>0</v>
      </c>
      <c r="C21" s="20">
        <f t="shared" si="0"/>
        <v>0</v>
      </c>
      <c r="E21" s="25" t="str" cm="1">
        <f t="array" ref="E21">IFERROR(INDEX(_xlfn.ANCHORARRAY($P$9),ROW()-16),"")</f>
        <v>Geco/Wilroy Mine</v>
      </c>
      <c r="F21" s="19">
        <f>IF($E21="","",COUNTIFS(Table3[Site],$E21,Table3[Deficiency Category],"?*"))</f>
        <v>0</v>
      </c>
    </row>
    <row r="22" spans="1:16" x14ac:dyDescent="0.35">
      <c r="A22" s="18" t="str">
        <f>Lookups!A15</f>
        <v>BCF - Bearing Capacity Failure</v>
      </c>
      <c r="B22" s="19">
        <f>COUNTIF(Table3[Deficiency Category],$A22)</f>
        <v>0</v>
      </c>
      <c r="C22" s="20">
        <f t="shared" si="0"/>
        <v>0</v>
      </c>
      <c r="E22" s="25" t="str" cm="1">
        <f t="array" ref="E22">IFERROR(INDEX(_xlfn.ANCHORARRAY($P$9),ROW()-16),"")</f>
        <v>Grey Eagle Mine</v>
      </c>
      <c r="F22" s="19">
        <f>IF($E22="","",COUNTIFS(Table3[Site],$E22,Table3[Deficiency Category],"?*"))</f>
        <v>0</v>
      </c>
    </row>
    <row r="23" spans="1:16" x14ac:dyDescent="0.35">
      <c r="A23" s="18" t="str">
        <f>Lookups!A16</f>
        <v>PF - Pile Foundations</v>
      </c>
      <c r="B23" s="19">
        <f>COUNTIF(Table3[Deficiency Category],$A23)</f>
        <v>0</v>
      </c>
      <c r="C23" s="20">
        <f t="shared" si="0"/>
        <v>0</v>
      </c>
      <c r="E23" s="25" t="str" cm="1">
        <f t="array" ref="E23">IFERROR(INDEX(_xlfn.ANCHORARRAY($P$9),ROW()-16),"")</f>
        <v>Heath Steele Mine</v>
      </c>
      <c r="F23" s="19">
        <f>IF($E23="","",COUNTIFS(Table3[Site],$E23,Table3[Deficiency Category],"?*"))</f>
        <v>0</v>
      </c>
    </row>
    <row r="24" spans="1:16" x14ac:dyDescent="0.35">
      <c r="A24" s="21" t="s">
        <v>110</v>
      </c>
      <c r="B24" s="22">
        <f>SUM(B9:B23)</f>
        <v>2</v>
      </c>
      <c r="C24" s="23">
        <f>IFERROR(B24/$B$24,0)</f>
        <v>1</v>
      </c>
      <c r="E24" s="25" t="str" cm="1">
        <f t="array" ref="E24">IFERROR(INDEX(_xlfn.ANCHORARRAY($P$9),ROW()-16),"")</f>
        <v>Matagami Mine</v>
      </c>
      <c r="F24" s="19">
        <f>IF($E24="","",COUNTIFS(Table3[Site],$E24,Table3[Deficiency Category],"?*"))</f>
        <v>0</v>
      </c>
    </row>
    <row r="25" spans="1:16" x14ac:dyDescent="0.35">
      <c r="E25" s="25" t="str" cm="1">
        <f t="array" ref="E25">IFERROR(INDEX(_xlfn.ANCHORARRAY($P$9),ROW()-16),"")</f>
        <v>Mattabi Mine</v>
      </c>
      <c r="F25" s="19">
        <f>IF($E25="","",COUNTIFS(Table3[Site],$E25,Table3[Deficiency Category],"?*"))</f>
        <v>0</v>
      </c>
    </row>
    <row r="26" spans="1:16" x14ac:dyDescent="0.35">
      <c r="E26" s="25" t="str" cm="1">
        <f t="array" ref="E26">IFERROR(INDEX(_xlfn.ANCHORARRAY($P$9),ROW()-16),"")</f>
        <v>Montcalm Mine</v>
      </c>
      <c r="F26" s="19">
        <f>IF($E26="","",COUNTIFS(Table3[Site],$E26,Table3[Deficiency Category],"?*"))</f>
        <v>0</v>
      </c>
    </row>
    <row r="27" spans="1:16" x14ac:dyDescent="0.35">
      <c r="E27" s="25" t="str" cm="1">
        <f t="array" ref="E27">IFERROR(INDEX(_xlfn.ANCHORARRAY($P$9),ROW()-16),"")</f>
        <v/>
      </c>
      <c r="F27" s="19" t="str">
        <f>IF($E27="","",COUNTIFS(Table3[Site],$E27,Table3[Deficiency Category],"?*"))</f>
        <v/>
      </c>
    </row>
    <row r="28" spans="1:16" x14ac:dyDescent="0.35">
      <c r="E28" s="25" t="str" cm="1">
        <f t="array" ref="E28">IFERROR(INDEX(_xlfn.ANCHORARRAY($P$9),ROW()-16),"")</f>
        <v/>
      </c>
      <c r="F28" s="19" t="str">
        <f>IF($E28="","",COUNTIFS(Table3[Site],$E28,Table3[Deficiency Category],"?*"))</f>
        <v/>
      </c>
    </row>
    <row r="29" spans="1:16" x14ac:dyDescent="0.35">
      <c r="E29" s="21" t="s">
        <v>110</v>
      </c>
      <c r="F29" s="22">
        <f>SUM(F17:F28)</f>
        <v>2</v>
      </c>
    </row>
    <row r="32" spans="1:16" x14ac:dyDescent="0.35">
      <c r="A32" t="s">
        <v>112</v>
      </c>
    </row>
    <row r="33" spans="1:9" x14ac:dyDescent="0.35">
      <c r="A33" t="s">
        <v>113</v>
      </c>
      <c r="H33" t="s">
        <v>60</v>
      </c>
      <c r="I33" t="s">
        <v>105</v>
      </c>
    </row>
    <row r="34" spans="1:9" x14ac:dyDescent="0.35">
      <c r="H34" t="s">
        <v>114</v>
      </c>
      <c r="I34">
        <f>COUNTIF(Table3[Risk Rating],"High")</f>
        <v>1</v>
      </c>
    </row>
    <row r="35" spans="1:9" x14ac:dyDescent="0.35">
      <c r="H35" t="s">
        <v>115</v>
      </c>
      <c r="I35">
        <f>COUNTIF(Table3[Risk Rating],"Medium")</f>
        <v>1</v>
      </c>
    </row>
    <row r="36" spans="1:9" x14ac:dyDescent="0.35">
      <c r="A36" t="s">
        <v>116</v>
      </c>
      <c r="H36" t="s">
        <v>117</v>
      </c>
      <c r="I36">
        <f>COUNTIF(Table3[Risk Rating],"Low")</f>
        <v>0</v>
      </c>
    </row>
    <row r="37" spans="1:9" x14ac:dyDescent="0.35">
      <c r="A37" t="s">
        <v>118</v>
      </c>
      <c r="B37" t="s">
        <v>119</v>
      </c>
      <c r="C37" t="s">
        <v>120</v>
      </c>
      <c r="D37" t="s">
        <v>121</v>
      </c>
      <c r="E37" t="s">
        <v>122</v>
      </c>
      <c r="F37" t="s">
        <v>123</v>
      </c>
    </row>
    <row r="38" spans="1:9" x14ac:dyDescent="0.35">
      <c r="A38" t="s">
        <v>124</v>
      </c>
      <c r="B38">
        <f>COUNTIFS(Table3[Consequence Severity],"5*",Table3[Likelihood],"A*")</f>
        <v>0</v>
      </c>
      <c r="C38">
        <f>COUNTIFS(Table3[Consequence Severity],"5*",Table3[Likelihood],"B*")</f>
        <v>0</v>
      </c>
      <c r="D38">
        <f>COUNTIFS(Table3[Consequence Severity],"5*",Table3[Likelihood],"C*")</f>
        <v>0</v>
      </c>
      <c r="E38">
        <f>COUNTIFS(Table3[Consequence Severity],"5*",Table3[Likelihood],"D*")</f>
        <v>0</v>
      </c>
      <c r="F38">
        <f>COUNTIFS(Table3[Consequence Severity],"5*",Table3[Likelihood],"E*")</f>
        <v>0</v>
      </c>
    </row>
    <row r="39" spans="1:9" x14ac:dyDescent="0.35">
      <c r="A39" t="s">
        <v>125</v>
      </c>
      <c r="B39">
        <f>COUNTIFS(Table3[Consequence Severity],"4*",Table3[Likelihood],"A*")</f>
        <v>0</v>
      </c>
      <c r="C39">
        <f>COUNTIFS(Table3[Consequence Severity],"4*",Table3[Likelihood],"B*")</f>
        <v>0</v>
      </c>
      <c r="D39">
        <f>COUNTIFS(Table3[Consequence Severity],"4*",Table3[Likelihood],"C*")</f>
        <v>0</v>
      </c>
      <c r="E39">
        <f>COUNTIFS(Table3[Consequence Severity],"4*",Table3[Likelihood],"D*")</f>
        <v>0</v>
      </c>
      <c r="F39">
        <f>COUNTIFS(Table3[Consequence Severity],"4*",Table3[Likelihood],"E*")</f>
        <v>0</v>
      </c>
    </row>
    <row r="40" spans="1:9" x14ac:dyDescent="0.35">
      <c r="A40" t="s">
        <v>84</v>
      </c>
      <c r="B40">
        <f>COUNTIFS(Table3[Consequence Severity],"3*",Table3[Likelihood],"A*")</f>
        <v>0</v>
      </c>
      <c r="C40">
        <f>COUNTIFS(Table3[Consequence Severity],"3*",Table3[Likelihood],"B*")</f>
        <v>1</v>
      </c>
      <c r="D40">
        <f>COUNTIFS(Table3[Consequence Severity],"3*",Table3[Likelihood],"C*")</f>
        <v>0</v>
      </c>
      <c r="E40">
        <f>COUNTIFS(Table3[Consequence Severity],"3*",Table3[Likelihood],"D*")</f>
        <v>0</v>
      </c>
      <c r="F40">
        <f>COUNTIFS(Table3[Consequence Severity],"3*",Table3[Likelihood],"E*")</f>
        <v>0</v>
      </c>
    </row>
    <row r="41" spans="1:9" x14ac:dyDescent="0.35">
      <c r="A41" t="s">
        <v>126</v>
      </c>
      <c r="B41">
        <f>COUNTIFS(Table3[Consequence Severity],"2*",Table3[Likelihood],"A*")</f>
        <v>0</v>
      </c>
      <c r="C41">
        <f>COUNTIFS(Table3[Consequence Severity],"2*",Table3[Likelihood],"B*")</f>
        <v>0</v>
      </c>
      <c r="D41">
        <f>COUNTIFS(Table3[Consequence Severity],"2*",Table3[Likelihood],"C*")</f>
        <v>0</v>
      </c>
      <c r="E41">
        <f>COUNTIFS(Table3[Consequence Severity],"2*",Table3[Likelihood],"D*")</f>
        <v>0</v>
      </c>
      <c r="F41">
        <f>COUNTIFS(Table3[Consequence Severity],"2*",Table3[Likelihood],"E*")</f>
        <v>0</v>
      </c>
    </row>
    <row r="42" spans="1:9" x14ac:dyDescent="0.35">
      <c r="A42" t="s">
        <v>71</v>
      </c>
      <c r="B42">
        <f>COUNTIFS(Table3[Consequence Severity],"1*",Table3[Likelihood],"A*")</f>
        <v>1</v>
      </c>
      <c r="C42">
        <f>COUNTIFS(Table3[Consequence Severity],"1*",Table3[Likelihood],"B*")</f>
        <v>0</v>
      </c>
      <c r="D42">
        <f>COUNTIFS(Table3[Consequence Severity],"1*",Table3[Likelihood],"C*")</f>
        <v>0</v>
      </c>
      <c r="E42">
        <f>COUNTIFS(Table3[Consequence Severity],"1*",Table3[Likelihood],"D*")</f>
        <v>0</v>
      </c>
      <c r="F42">
        <f>COUNTIFS(Table3[Consequence Severity],"1*",Table3[Likelihood],"E*")</f>
        <v>0</v>
      </c>
    </row>
  </sheetData>
  <mergeCells count="12">
    <mergeCell ref="J4:K4"/>
    <mergeCell ref="J5:K5"/>
    <mergeCell ref="A1:K1"/>
    <mergeCell ref="A2:K2"/>
    <mergeCell ref="B4:C4"/>
    <mergeCell ref="B5:C5"/>
    <mergeCell ref="D4:E4"/>
    <mergeCell ref="D5:E5"/>
    <mergeCell ref="F4:G4"/>
    <mergeCell ref="F5:G5"/>
    <mergeCell ref="H4:I4"/>
    <mergeCell ref="H5:I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16A17-9284-449A-A42D-C4DE71B649E8}">
  <sheetPr>
    <tabColor theme="6" tint="0.39997558519241921"/>
  </sheetPr>
  <dimension ref="A1:J30"/>
  <sheetViews>
    <sheetView topLeftCell="B1" workbookViewId="0">
      <selection activeCell="E11" sqref="E11"/>
    </sheetView>
  </sheetViews>
  <sheetFormatPr defaultRowHeight="14.5" x14ac:dyDescent="0.35"/>
  <cols>
    <col min="1" max="1" width="22.26953125" customWidth="1"/>
    <col min="2" max="2" width="27.81640625" bestFit="1" customWidth="1"/>
    <col min="3" max="3" width="30.81640625" style="6" customWidth="1"/>
    <col min="4" max="5" width="18.1796875" bestFit="1" customWidth="1"/>
    <col min="6" max="6" width="17.81640625" bestFit="1" customWidth="1"/>
    <col min="7" max="7" width="40.54296875" bestFit="1" customWidth="1"/>
    <col min="8" max="8" width="29.453125" bestFit="1" customWidth="1"/>
    <col min="10" max="10" width="55" customWidth="1"/>
  </cols>
  <sheetData>
    <row r="1" spans="1:10" s="7" customFormat="1" ht="24" customHeight="1" x14ac:dyDescent="0.35">
      <c r="A1" s="8" t="s">
        <v>24</v>
      </c>
      <c r="B1" s="8" t="s">
        <v>25</v>
      </c>
      <c r="C1" s="9" t="s">
        <v>27</v>
      </c>
      <c r="D1" s="8" t="s">
        <v>28</v>
      </c>
      <c r="E1" s="8" t="s">
        <v>44</v>
      </c>
      <c r="F1" s="8" t="s">
        <v>29</v>
      </c>
      <c r="G1" s="8" t="s">
        <v>127</v>
      </c>
      <c r="H1" s="8" t="s">
        <v>128</v>
      </c>
      <c r="I1" s="10" t="s">
        <v>129</v>
      </c>
      <c r="J1" s="10" t="s">
        <v>108</v>
      </c>
    </row>
    <row r="2" spans="1:10" x14ac:dyDescent="0.35">
      <c r="A2" t="s">
        <v>130</v>
      </c>
      <c r="B2" t="s">
        <v>131</v>
      </c>
      <c r="C2" s="6" t="s">
        <v>62</v>
      </c>
      <c r="D2" t="s">
        <v>132</v>
      </c>
      <c r="E2" t="s">
        <v>133</v>
      </c>
      <c r="F2" t="s">
        <v>134</v>
      </c>
      <c r="G2" t="s">
        <v>135</v>
      </c>
      <c r="H2" t="s">
        <v>136</v>
      </c>
      <c r="I2" s="5" t="s">
        <v>73</v>
      </c>
      <c r="J2" s="5" t="s">
        <v>137</v>
      </c>
    </row>
    <row r="3" spans="1:10" x14ac:dyDescent="0.35">
      <c r="A3" t="s">
        <v>138</v>
      </c>
      <c r="B3" t="s">
        <v>139</v>
      </c>
      <c r="C3" s="6" t="s">
        <v>140</v>
      </c>
      <c r="D3" t="s">
        <v>141</v>
      </c>
      <c r="E3" t="s">
        <v>66</v>
      </c>
      <c r="F3" t="s">
        <v>142</v>
      </c>
      <c r="G3" t="s">
        <v>143</v>
      </c>
      <c r="H3" t="s">
        <v>144</v>
      </c>
      <c r="I3" s="5" t="s">
        <v>85</v>
      </c>
      <c r="J3" s="5" t="s">
        <v>86</v>
      </c>
    </row>
    <row r="4" spans="1:10" x14ac:dyDescent="0.35">
      <c r="A4" t="s">
        <v>34</v>
      </c>
      <c r="B4" t="s">
        <v>145</v>
      </c>
      <c r="C4" s="6" t="s">
        <v>146</v>
      </c>
      <c r="D4" t="s">
        <v>147</v>
      </c>
      <c r="E4" s="38" t="s">
        <v>148</v>
      </c>
      <c r="F4" t="s">
        <v>149</v>
      </c>
      <c r="G4" t="s">
        <v>150</v>
      </c>
      <c r="H4" t="s">
        <v>151</v>
      </c>
      <c r="I4" s="5" t="s">
        <v>152</v>
      </c>
      <c r="J4" s="5" t="s">
        <v>153</v>
      </c>
    </row>
    <row r="5" spans="1:10" x14ac:dyDescent="0.35">
      <c r="A5" t="s">
        <v>154</v>
      </c>
      <c r="B5" t="s">
        <v>155</v>
      </c>
      <c r="C5" s="6" t="s">
        <v>156</v>
      </c>
      <c r="D5" t="s">
        <v>157</v>
      </c>
      <c r="E5" t="s">
        <v>158</v>
      </c>
      <c r="F5" t="s">
        <v>159</v>
      </c>
      <c r="G5" t="s">
        <v>160</v>
      </c>
      <c r="H5" t="s">
        <v>161</v>
      </c>
      <c r="I5" s="5" t="s">
        <v>162</v>
      </c>
      <c r="J5" s="5" t="s">
        <v>163</v>
      </c>
    </row>
    <row r="6" spans="1:10" x14ac:dyDescent="0.35">
      <c r="A6" t="s">
        <v>164</v>
      </c>
      <c r="B6" t="s">
        <v>165</v>
      </c>
      <c r="C6" s="6" t="s">
        <v>166</v>
      </c>
      <c r="D6" t="s">
        <v>167</v>
      </c>
      <c r="E6" s="38" t="s">
        <v>168</v>
      </c>
      <c r="G6" t="s">
        <v>169</v>
      </c>
      <c r="H6" t="s">
        <v>170</v>
      </c>
      <c r="I6" s="5" t="s">
        <v>171</v>
      </c>
      <c r="J6" s="5" t="s">
        <v>172</v>
      </c>
    </row>
    <row r="7" spans="1:10" x14ac:dyDescent="0.35">
      <c r="A7" t="s">
        <v>173</v>
      </c>
      <c r="B7" t="s">
        <v>174</v>
      </c>
      <c r="D7" t="s">
        <v>175</v>
      </c>
      <c r="E7" s="38" t="s">
        <v>176</v>
      </c>
      <c r="G7" t="s">
        <v>67</v>
      </c>
      <c r="H7" t="s">
        <v>177</v>
      </c>
    </row>
    <row r="8" spans="1:10" x14ac:dyDescent="0.35">
      <c r="A8" t="s">
        <v>178</v>
      </c>
      <c r="B8" t="s">
        <v>179</v>
      </c>
      <c r="D8" t="s">
        <v>180</v>
      </c>
      <c r="E8" s="38" t="s">
        <v>181</v>
      </c>
      <c r="G8" t="s">
        <v>182</v>
      </c>
      <c r="H8" t="s">
        <v>183</v>
      </c>
    </row>
    <row r="9" spans="1:10" x14ac:dyDescent="0.35">
      <c r="A9" t="s">
        <v>184</v>
      </c>
      <c r="B9" t="s">
        <v>185</v>
      </c>
      <c r="D9" t="s">
        <v>186</v>
      </c>
      <c r="E9" t="s">
        <v>187</v>
      </c>
      <c r="G9" t="s">
        <v>188</v>
      </c>
      <c r="H9" t="s">
        <v>189</v>
      </c>
    </row>
    <row r="10" spans="1:10" x14ac:dyDescent="0.35">
      <c r="A10" t="s">
        <v>190</v>
      </c>
      <c r="B10" t="s">
        <v>191</v>
      </c>
      <c r="D10" t="s">
        <v>192</v>
      </c>
      <c r="E10" s="38" t="s">
        <v>193</v>
      </c>
      <c r="G10" t="s">
        <v>194</v>
      </c>
      <c r="H10" t="s">
        <v>195</v>
      </c>
    </row>
    <row r="11" spans="1:10" x14ac:dyDescent="0.35">
      <c r="A11" t="s">
        <v>196</v>
      </c>
      <c r="B11" t="s">
        <v>197</v>
      </c>
      <c r="D11" t="s">
        <v>198</v>
      </c>
      <c r="E11" t="s">
        <v>199</v>
      </c>
      <c r="G11" t="s">
        <v>200</v>
      </c>
      <c r="H11" t="s">
        <v>201</v>
      </c>
    </row>
    <row r="12" spans="1:10" x14ac:dyDescent="0.35">
      <c r="B12" t="s">
        <v>202</v>
      </c>
      <c r="D12" t="s">
        <v>203</v>
      </c>
      <c r="G12" t="s">
        <v>204</v>
      </c>
      <c r="H12" t="s">
        <v>205</v>
      </c>
    </row>
    <row r="13" spans="1:10" x14ac:dyDescent="0.35">
      <c r="B13" t="s">
        <v>206</v>
      </c>
      <c r="D13" t="s">
        <v>207</v>
      </c>
      <c r="G13" t="s">
        <v>208</v>
      </c>
      <c r="H13" t="s">
        <v>209</v>
      </c>
    </row>
    <row r="14" spans="1:10" x14ac:dyDescent="0.35">
      <c r="B14" t="s">
        <v>210</v>
      </c>
      <c r="D14" t="s">
        <v>211</v>
      </c>
      <c r="G14" t="s">
        <v>212</v>
      </c>
      <c r="H14" t="s">
        <v>213</v>
      </c>
    </row>
    <row r="15" spans="1:10" x14ac:dyDescent="0.35">
      <c r="B15" t="s">
        <v>214</v>
      </c>
      <c r="D15" t="s">
        <v>215</v>
      </c>
      <c r="G15" t="s">
        <v>216</v>
      </c>
      <c r="H15" t="s">
        <v>217</v>
      </c>
    </row>
    <row r="16" spans="1:10" x14ac:dyDescent="0.35">
      <c r="B16" t="s">
        <v>218</v>
      </c>
      <c r="D16" t="s">
        <v>219</v>
      </c>
      <c r="G16" t="s">
        <v>220</v>
      </c>
      <c r="H16" t="s">
        <v>221</v>
      </c>
    </row>
    <row r="17" spans="2:8" x14ac:dyDescent="0.35">
      <c r="B17" t="s">
        <v>222</v>
      </c>
      <c r="D17" t="s">
        <v>223</v>
      </c>
      <c r="H17" t="s">
        <v>224</v>
      </c>
    </row>
    <row r="18" spans="2:8" x14ac:dyDescent="0.35">
      <c r="B18" t="s">
        <v>225</v>
      </c>
      <c r="D18" t="s">
        <v>226</v>
      </c>
      <c r="H18" t="s">
        <v>227</v>
      </c>
    </row>
    <row r="19" spans="2:8" x14ac:dyDescent="0.35">
      <c r="B19" t="s">
        <v>228</v>
      </c>
      <c r="D19" t="s">
        <v>229</v>
      </c>
      <c r="H19" t="s">
        <v>83</v>
      </c>
    </row>
    <row r="20" spans="2:8" x14ac:dyDescent="0.35">
      <c r="D20" t="s">
        <v>230</v>
      </c>
      <c r="H20" t="s">
        <v>231</v>
      </c>
    </row>
    <row r="21" spans="2:8" x14ac:dyDescent="0.35">
      <c r="D21" t="s">
        <v>232</v>
      </c>
      <c r="H21" t="s">
        <v>233</v>
      </c>
    </row>
    <row r="22" spans="2:8" x14ac:dyDescent="0.35">
      <c r="D22" s="38" t="s">
        <v>234</v>
      </c>
      <c r="E22" s="38"/>
      <c r="H22" t="s">
        <v>235</v>
      </c>
    </row>
    <row r="23" spans="2:8" x14ac:dyDescent="0.35">
      <c r="D23" t="s">
        <v>236</v>
      </c>
      <c r="H23" t="s">
        <v>237</v>
      </c>
    </row>
    <row r="24" spans="2:8" x14ac:dyDescent="0.35">
      <c r="D24" t="s">
        <v>238</v>
      </c>
      <c r="H24" t="s">
        <v>239</v>
      </c>
    </row>
    <row r="25" spans="2:8" x14ac:dyDescent="0.35">
      <c r="D25" t="s">
        <v>240</v>
      </c>
      <c r="H25" t="s">
        <v>241</v>
      </c>
    </row>
    <row r="26" spans="2:8" x14ac:dyDescent="0.35">
      <c r="D26" t="s">
        <v>242</v>
      </c>
      <c r="H26" t="s">
        <v>243</v>
      </c>
    </row>
    <row r="27" spans="2:8" x14ac:dyDescent="0.35">
      <c r="D27" t="s">
        <v>244</v>
      </c>
      <c r="H27" t="s">
        <v>245</v>
      </c>
    </row>
    <row r="28" spans="2:8" x14ac:dyDescent="0.35">
      <c r="H28" t="s">
        <v>246</v>
      </c>
    </row>
    <row r="29" spans="2:8" x14ac:dyDescent="0.35">
      <c r="H29" t="s">
        <v>247</v>
      </c>
    </row>
    <row r="30" spans="2:8" x14ac:dyDescent="0.35">
      <c r="D30" t="s">
        <v>166</v>
      </c>
      <c r="E30" t="s">
        <v>166</v>
      </c>
      <c r="H30" t="s">
        <v>248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9BB45-09FA-4F48-AAED-3BD6669120B4}">
  <dimension ref="A1:G218"/>
  <sheetViews>
    <sheetView tabSelected="1" topLeftCell="C1" workbookViewId="0">
      <pane ySplit="2" topLeftCell="A170" activePane="bottomLeft" state="frozen"/>
      <selection pane="bottomLeft" activeCell="E179" sqref="E179:E183"/>
    </sheetView>
  </sheetViews>
  <sheetFormatPr defaultRowHeight="14.5" x14ac:dyDescent="0.35"/>
  <cols>
    <col min="1" max="1" width="30.81640625" customWidth="1"/>
    <col min="2" max="2" width="34.54296875" customWidth="1"/>
    <col min="3" max="3" width="32.7265625" customWidth="1"/>
    <col min="4" max="4" width="34.54296875" customWidth="1"/>
    <col min="5" max="7" width="36.453125" customWidth="1"/>
  </cols>
  <sheetData>
    <row r="1" spans="1:7" ht="16" x14ac:dyDescent="0.4">
      <c r="A1" s="37" t="s">
        <v>249</v>
      </c>
    </row>
    <row r="2" spans="1:7" x14ac:dyDescent="0.35">
      <c r="A2" s="6" t="s">
        <v>27</v>
      </c>
      <c r="B2" s="6" t="s">
        <v>250</v>
      </c>
      <c r="C2" s="6" t="s">
        <v>28</v>
      </c>
      <c r="D2" s="6" t="s">
        <v>251</v>
      </c>
      <c r="E2" s="6" t="s">
        <v>57</v>
      </c>
      <c r="F2" s="6" t="s">
        <v>45</v>
      </c>
      <c r="G2" s="6" t="s">
        <v>252</v>
      </c>
    </row>
    <row r="3" spans="1:7" ht="29" x14ac:dyDescent="0.35">
      <c r="A3" s="6" t="s">
        <v>62</v>
      </c>
      <c r="B3" s="6" t="s">
        <v>253</v>
      </c>
      <c r="C3" s="6" t="s">
        <v>65</v>
      </c>
      <c r="D3" s="6" t="s">
        <v>133</v>
      </c>
      <c r="E3" s="6" t="s">
        <v>254</v>
      </c>
      <c r="F3" s="6" t="s">
        <v>67</v>
      </c>
      <c r="G3" s="6" t="s">
        <v>82</v>
      </c>
    </row>
    <row r="4" spans="1:7" ht="29" x14ac:dyDescent="0.35">
      <c r="A4" s="6" t="s">
        <v>62</v>
      </c>
      <c r="B4" s="6" t="s">
        <v>253</v>
      </c>
      <c r="C4" s="6" t="s">
        <v>65</v>
      </c>
      <c r="D4" s="6" t="s">
        <v>133</v>
      </c>
      <c r="E4" s="6" t="s">
        <v>255</v>
      </c>
      <c r="F4" s="6" t="s">
        <v>135</v>
      </c>
      <c r="G4" s="6" t="s">
        <v>256</v>
      </c>
    </row>
    <row r="5" spans="1:7" ht="29" x14ac:dyDescent="0.35">
      <c r="A5" s="6" t="s">
        <v>62</v>
      </c>
      <c r="B5" s="6" t="s">
        <v>253</v>
      </c>
      <c r="C5" s="6" t="s">
        <v>65</v>
      </c>
      <c r="D5" s="6" t="s">
        <v>133</v>
      </c>
      <c r="E5" s="6" t="s">
        <v>257</v>
      </c>
      <c r="F5" s="6" t="s">
        <v>169</v>
      </c>
      <c r="G5" s="6" t="s">
        <v>258</v>
      </c>
    </row>
    <row r="6" spans="1:7" ht="29" x14ac:dyDescent="0.35">
      <c r="A6" s="6" t="s">
        <v>62</v>
      </c>
      <c r="B6" s="6" t="s">
        <v>253</v>
      </c>
      <c r="C6" s="6" t="s">
        <v>259</v>
      </c>
      <c r="D6" s="6" t="s">
        <v>66</v>
      </c>
      <c r="E6" s="6" t="s">
        <v>260</v>
      </c>
      <c r="F6" s="6" t="s">
        <v>67</v>
      </c>
      <c r="G6" s="6" t="s">
        <v>261</v>
      </c>
    </row>
    <row r="7" spans="1:7" ht="29" x14ac:dyDescent="0.35">
      <c r="A7" s="6" t="s">
        <v>62</v>
      </c>
      <c r="B7" s="6" t="s">
        <v>253</v>
      </c>
      <c r="C7" s="6" t="s">
        <v>259</v>
      </c>
      <c r="D7" s="6" t="s">
        <v>66</v>
      </c>
      <c r="E7" s="6" t="s">
        <v>262</v>
      </c>
      <c r="F7" s="6" t="s">
        <v>182</v>
      </c>
      <c r="G7" s="6" t="s">
        <v>263</v>
      </c>
    </row>
    <row r="8" spans="1:7" ht="29" x14ac:dyDescent="0.35">
      <c r="A8" s="6" t="s">
        <v>62</v>
      </c>
      <c r="B8" s="6" t="s">
        <v>253</v>
      </c>
      <c r="C8" s="6" t="s">
        <v>175</v>
      </c>
      <c r="D8" s="6" t="s">
        <v>148</v>
      </c>
      <c r="E8" s="6" t="s">
        <v>264</v>
      </c>
      <c r="F8" s="6" t="s">
        <v>143</v>
      </c>
      <c r="G8" s="6" t="s">
        <v>265</v>
      </c>
    </row>
    <row r="9" spans="1:7" ht="29" x14ac:dyDescent="0.35">
      <c r="A9" s="6" t="s">
        <v>62</v>
      </c>
      <c r="B9" s="6" t="s">
        <v>253</v>
      </c>
      <c r="C9" s="6" t="s">
        <v>175</v>
      </c>
      <c r="D9" s="6" t="s">
        <v>148</v>
      </c>
      <c r="E9" s="6" t="s">
        <v>266</v>
      </c>
      <c r="F9" s="6" t="s">
        <v>188</v>
      </c>
      <c r="G9" s="6" t="s">
        <v>267</v>
      </c>
    </row>
    <row r="10" spans="1:7" ht="29" x14ac:dyDescent="0.35">
      <c r="A10" s="6" t="s">
        <v>62</v>
      </c>
      <c r="B10" s="6" t="s">
        <v>253</v>
      </c>
      <c r="C10" s="6" t="s">
        <v>244</v>
      </c>
      <c r="D10" s="6" t="s">
        <v>158</v>
      </c>
      <c r="E10" s="6" t="s">
        <v>268</v>
      </c>
      <c r="F10" s="6" t="s">
        <v>135</v>
      </c>
      <c r="G10" s="6" t="s">
        <v>269</v>
      </c>
    </row>
    <row r="11" spans="1:7" ht="29" x14ac:dyDescent="0.35">
      <c r="A11" s="6" t="s">
        <v>62</v>
      </c>
      <c r="B11" s="6" t="s">
        <v>253</v>
      </c>
      <c r="C11" s="6" t="s">
        <v>244</v>
      </c>
      <c r="D11" s="6" t="s">
        <v>158</v>
      </c>
      <c r="E11" s="6" t="s">
        <v>270</v>
      </c>
      <c r="F11" s="6" t="s">
        <v>169</v>
      </c>
      <c r="G11" s="6" t="s">
        <v>271</v>
      </c>
    </row>
    <row r="12" spans="1:7" ht="29" x14ac:dyDescent="0.35">
      <c r="A12" s="6" t="s">
        <v>62</v>
      </c>
      <c r="B12" s="6" t="s">
        <v>253</v>
      </c>
      <c r="C12" s="6" t="s">
        <v>234</v>
      </c>
      <c r="D12" s="6" t="s">
        <v>168</v>
      </c>
      <c r="E12" s="6" t="s">
        <v>272</v>
      </c>
      <c r="F12" s="6" t="s">
        <v>160</v>
      </c>
      <c r="G12" s="6" t="s">
        <v>273</v>
      </c>
    </row>
    <row r="13" spans="1:7" ht="29" x14ac:dyDescent="0.35">
      <c r="A13" s="6" t="s">
        <v>62</v>
      </c>
      <c r="B13" s="6" t="s">
        <v>253</v>
      </c>
      <c r="C13" s="6" t="s">
        <v>234</v>
      </c>
      <c r="D13" s="6" t="s">
        <v>168</v>
      </c>
      <c r="E13" s="6" t="s">
        <v>274</v>
      </c>
      <c r="F13" s="6" t="s">
        <v>169</v>
      </c>
      <c r="G13" s="6" t="s">
        <v>275</v>
      </c>
    </row>
    <row r="14" spans="1:7" ht="29" x14ac:dyDescent="0.35">
      <c r="A14" s="6" t="s">
        <v>62</v>
      </c>
      <c r="B14" s="6" t="s">
        <v>253</v>
      </c>
      <c r="C14" s="6" t="s">
        <v>276</v>
      </c>
      <c r="D14" s="6" t="s">
        <v>176</v>
      </c>
      <c r="E14" s="6" t="s">
        <v>277</v>
      </c>
      <c r="F14" s="6" t="s">
        <v>194</v>
      </c>
      <c r="G14" s="6" t="s">
        <v>68</v>
      </c>
    </row>
    <row r="15" spans="1:7" ht="29" x14ac:dyDescent="0.35">
      <c r="A15" s="6" t="s">
        <v>62</v>
      </c>
      <c r="B15" s="6" t="s">
        <v>253</v>
      </c>
      <c r="C15" s="6" t="s">
        <v>276</v>
      </c>
      <c r="D15" s="6" t="s">
        <v>176</v>
      </c>
      <c r="E15" s="6" t="s">
        <v>278</v>
      </c>
      <c r="F15" s="6" t="s">
        <v>135</v>
      </c>
      <c r="G15" s="6" t="s">
        <v>279</v>
      </c>
    </row>
    <row r="16" spans="1:7" ht="29" x14ac:dyDescent="0.35">
      <c r="A16" s="6" t="s">
        <v>62</v>
      </c>
      <c r="B16" s="6" t="s">
        <v>253</v>
      </c>
      <c r="C16" s="6" t="s">
        <v>280</v>
      </c>
      <c r="D16" s="6" t="s">
        <v>181</v>
      </c>
      <c r="E16" s="6" t="s">
        <v>281</v>
      </c>
      <c r="F16" s="6" t="s">
        <v>169</v>
      </c>
      <c r="G16" s="6" t="s">
        <v>282</v>
      </c>
    </row>
    <row r="17" spans="1:7" ht="29" x14ac:dyDescent="0.35">
      <c r="A17" s="6" t="s">
        <v>62</v>
      </c>
      <c r="B17" s="6" t="s">
        <v>253</v>
      </c>
      <c r="C17" s="6" t="s">
        <v>283</v>
      </c>
      <c r="D17" s="6" t="s">
        <v>187</v>
      </c>
      <c r="E17" s="6" t="s">
        <v>284</v>
      </c>
      <c r="F17" s="6" t="s">
        <v>150</v>
      </c>
      <c r="G17" s="6" t="s">
        <v>285</v>
      </c>
    </row>
    <row r="18" spans="1:7" ht="29" x14ac:dyDescent="0.35">
      <c r="A18" s="6" t="s">
        <v>62</v>
      </c>
      <c r="B18" s="6" t="s">
        <v>253</v>
      </c>
      <c r="C18" s="6" t="s">
        <v>286</v>
      </c>
      <c r="D18" s="6" t="s">
        <v>168</v>
      </c>
      <c r="E18" s="6" t="s">
        <v>287</v>
      </c>
      <c r="F18" s="6" t="s">
        <v>150</v>
      </c>
      <c r="G18" s="6" t="s">
        <v>288</v>
      </c>
    </row>
    <row r="19" spans="1:7" ht="29" x14ac:dyDescent="0.35">
      <c r="A19" s="6" t="s">
        <v>62</v>
      </c>
      <c r="B19" s="6" t="s">
        <v>253</v>
      </c>
      <c r="C19" s="6" t="s">
        <v>289</v>
      </c>
      <c r="D19" s="6" t="s">
        <v>176</v>
      </c>
      <c r="E19" s="6" t="s">
        <v>290</v>
      </c>
      <c r="F19" s="6" t="s">
        <v>135</v>
      </c>
      <c r="G19" s="6" t="s">
        <v>291</v>
      </c>
    </row>
    <row r="20" spans="1:7" ht="29" x14ac:dyDescent="0.35">
      <c r="A20" s="6" t="s">
        <v>62</v>
      </c>
      <c r="B20" s="6" t="s">
        <v>253</v>
      </c>
      <c r="C20" s="6" t="s">
        <v>292</v>
      </c>
      <c r="D20" s="6" t="s">
        <v>292</v>
      </c>
      <c r="E20" s="6" t="s">
        <v>293</v>
      </c>
      <c r="F20" s="6" t="s">
        <v>182</v>
      </c>
      <c r="G20" s="6" t="s">
        <v>294</v>
      </c>
    </row>
    <row r="21" spans="1:7" ht="29" x14ac:dyDescent="0.35">
      <c r="A21" s="6" t="s">
        <v>62</v>
      </c>
      <c r="B21" s="6" t="s">
        <v>253</v>
      </c>
      <c r="C21" s="6" t="s">
        <v>292</v>
      </c>
      <c r="D21" s="6" t="s">
        <v>292</v>
      </c>
      <c r="E21" s="6" t="s">
        <v>295</v>
      </c>
      <c r="F21" s="6" t="s">
        <v>182</v>
      </c>
      <c r="G21" s="6" t="s">
        <v>296</v>
      </c>
    </row>
    <row r="22" spans="1:7" ht="29" x14ac:dyDescent="0.35">
      <c r="A22" s="6" t="s">
        <v>62</v>
      </c>
      <c r="B22" s="6" t="s">
        <v>253</v>
      </c>
      <c r="C22" s="6" t="s">
        <v>292</v>
      </c>
      <c r="D22" s="6" t="s">
        <v>292</v>
      </c>
      <c r="E22" s="6" t="s">
        <v>295</v>
      </c>
      <c r="F22" s="6" t="s">
        <v>200</v>
      </c>
      <c r="G22" s="6" t="s">
        <v>297</v>
      </c>
    </row>
    <row r="23" spans="1:7" ht="29" x14ac:dyDescent="0.35">
      <c r="A23" s="6" t="s">
        <v>62</v>
      </c>
      <c r="B23" s="6" t="s">
        <v>253</v>
      </c>
      <c r="C23" s="6" t="s">
        <v>292</v>
      </c>
      <c r="D23" s="6" t="s">
        <v>292</v>
      </c>
      <c r="E23" s="6" t="s">
        <v>295</v>
      </c>
      <c r="F23" s="6" t="s">
        <v>200</v>
      </c>
      <c r="G23" s="6" t="s">
        <v>298</v>
      </c>
    </row>
    <row r="24" spans="1:7" ht="29" x14ac:dyDescent="0.35">
      <c r="A24" s="6" t="s">
        <v>62</v>
      </c>
      <c r="B24" s="6" t="s">
        <v>253</v>
      </c>
      <c r="C24" s="6" t="s">
        <v>292</v>
      </c>
      <c r="D24" s="6" t="s">
        <v>292</v>
      </c>
      <c r="E24" s="6" t="s">
        <v>295</v>
      </c>
      <c r="F24" s="6" t="s">
        <v>182</v>
      </c>
      <c r="G24" s="6" t="s">
        <v>299</v>
      </c>
    </row>
    <row r="25" spans="1:7" ht="29" x14ac:dyDescent="0.35">
      <c r="A25" s="6" t="s">
        <v>62</v>
      </c>
      <c r="B25" s="6" t="s">
        <v>253</v>
      </c>
      <c r="C25" s="6" t="s">
        <v>292</v>
      </c>
      <c r="D25" s="6" t="s">
        <v>292</v>
      </c>
      <c r="E25" s="6" t="s">
        <v>295</v>
      </c>
      <c r="F25" s="6" t="s">
        <v>204</v>
      </c>
      <c r="G25" s="6" t="s">
        <v>300</v>
      </c>
    </row>
    <row r="26" spans="1:7" ht="29" x14ac:dyDescent="0.35">
      <c r="A26" s="6" t="s">
        <v>140</v>
      </c>
      <c r="B26" s="6" t="s">
        <v>301</v>
      </c>
      <c r="C26" s="6" t="s">
        <v>302</v>
      </c>
      <c r="D26" s="6" t="s">
        <v>199</v>
      </c>
      <c r="E26" s="6" t="s">
        <v>303</v>
      </c>
      <c r="F26" s="6" t="s">
        <v>188</v>
      </c>
      <c r="G26" s="6" t="s">
        <v>304</v>
      </c>
    </row>
    <row r="27" spans="1:7" ht="29" x14ac:dyDescent="0.35">
      <c r="A27" s="6" t="s">
        <v>140</v>
      </c>
      <c r="B27" s="6" t="s">
        <v>301</v>
      </c>
      <c r="C27" s="6" t="s">
        <v>302</v>
      </c>
      <c r="D27" s="6" t="s">
        <v>199</v>
      </c>
      <c r="E27" s="6" t="s">
        <v>305</v>
      </c>
      <c r="F27" s="6" t="s">
        <v>143</v>
      </c>
      <c r="G27" s="6" t="s">
        <v>265</v>
      </c>
    </row>
    <row r="28" spans="1:7" ht="29" x14ac:dyDescent="0.35">
      <c r="A28" s="6" t="s">
        <v>140</v>
      </c>
      <c r="B28" s="6" t="s">
        <v>301</v>
      </c>
      <c r="C28" s="6" t="s">
        <v>302</v>
      </c>
      <c r="D28" s="6" t="s">
        <v>199</v>
      </c>
      <c r="E28" s="6" t="s">
        <v>306</v>
      </c>
      <c r="F28" s="6" t="s">
        <v>188</v>
      </c>
      <c r="G28" s="6" t="s">
        <v>307</v>
      </c>
    </row>
    <row r="29" spans="1:7" ht="29" x14ac:dyDescent="0.35">
      <c r="A29" s="6" t="s">
        <v>140</v>
      </c>
      <c r="B29" s="6" t="s">
        <v>301</v>
      </c>
      <c r="C29" s="6" t="s">
        <v>308</v>
      </c>
      <c r="D29" s="6" t="s">
        <v>193</v>
      </c>
      <c r="E29" s="6" t="s">
        <v>309</v>
      </c>
      <c r="F29" s="6" t="s">
        <v>188</v>
      </c>
      <c r="G29" s="6" t="s">
        <v>310</v>
      </c>
    </row>
    <row r="30" spans="1:7" ht="29" x14ac:dyDescent="0.35">
      <c r="A30" s="6" t="s">
        <v>140</v>
      </c>
      <c r="B30" s="6" t="s">
        <v>301</v>
      </c>
      <c r="C30" s="6" t="s">
        <v>308</v>
      </c>
      <c r="D30" s="6" t="s">
        <v>193</v>
      </c>
      <c r="E30" s="6" t="s">
        <v>311</v>
      </c>
      <c r="F30" s="6" t="s">
        <v>150</v>
      </c>
      <c r="G30" s="6" t="s">
        <v>312</v>
      </c>
    </row>
    <row r="31" spans="1:7" ht="29" x14ac:dyDescent="0.35">
      <c r="A31" s="6" t="s">
        <v>140</v>
      </c>
      <c r="B31" s="6" t="s">
        <v>301</v>
      </c>
      <c r="C31" s="6" t="s">
        <v>308</v>
      </c>
      <c r="D31" s="6" t="s">
        <v>193</v>
      </c>
      <c r="E31" s="6" t="s">
        <v>313</v>
      </c>
      <c r="F31" s="6" t="s">
        <v>169</v>
      </c>
      <c r="G31" s="6" t="s">
        <v>314</v>
      </c>
    </row>
    <row r="32" spans="1:7" ht="29" x14ac:dyDescent="0.35">
      <c r="A32" s="6" t="s">
        <v>140</v>
      </c>
      <c r="B32" s="6" t="s">
        <v>301</v>
      </c>
      <c r="C32" s="6" t="s">
        <v>315</v>
      </c>
      <c r="D32" s="6" t="s">
        <v>316</v>
      </c>
      <c r="E32" s="6" t="s">
        <v>317</v>
      </c>
      <c r="F32" s="6" t="s">
        <v>150</v>
      </c>
      <c r="G32" s="6" t="s">
        <v>318</v>
      </c>
    </row>
    <row r="33" spans="1:7" ht="29" x14ac:dyDescent="0.35">
      <c r="A33" s="6" t="s">
        <v>140</v>
      </c>
      <c r="B33" s="6" t="s">
        <v>301</v>
      </c>
      <c r="C33" s="6" t="s">
        <v>315</v>
      </c>
      <c r="D33" s="6" t="s">
        <v>316</v>
      </c>
      <c r="E33" s="6" t="s">
        <v>319</v>
      </c>
      <c r="F33" s="6" t="s">
        <v>169</v>
      </c>
      <c r="G33" s="6" t="s">
        <v>320</v>
      </c>
    </row>
    <row r="34" spans="1:7" ht="29" x14ac:dyDescent="0.35">
      <c r="A34" s="6" t="s">
        <v>140</v>
      </c>
      <c r="B34" s="6" t="s">
        <v>301</v>
      </c>
      <c r="C34" s="6" t="s">
        <v>315</v>
      </c>
      <c r="D34" s="6" t="s">
        <v>316</v>
      </c>
      <c r="E34" s="6" t="s">
        <v>321</v>
      </c>
      <c r="F34" s="6" t="s">
        <v>135</v>
      </c>
      <c r="G34" s="6" t="s">
        <v>322</v>
      </c>
    </row>
    <row r="35" spans="1:7" ht="29" x14ac:dyDescent="0.35">
      <c r="A35" s="6" t="s">
        <v>140</v>
      </c>
      <c r="B35" s="6" t="s">
        <v>301</v>
      </c>
      <c r="C35" s="6" t="s">
        <v>323</v>
      </c>
      <c r="D35" s="6" t="s">
        <v>324</v>
      </c>
      <c r="E35" s="6" t="s">
        <v>325</v>
      </c>
      <c r="F35" s="6" t="s">
        <v>135</v>
      </c>
      <c r="G35" s="6" t="s">
        <v>326</v>
      </c>
    </row>
    <row r="36" spans="1:7" ht="29" x14ac:dyDescent="0.35">
      <c r="A36" s="6" t="s">
        <v>140</v>
      </c>
      <c r="B36" s="6" t="s">
        <v>301</v>
      </c>
      <c r="C36" s="6" t="s">
        <v>323</v>
      </c>
      <c r="D36" s="6" t="s">
        <v>324</v>
      </c>
      <c r="E36" s="6" t="s">
        <v>327</v>
      </c>
      <c r="F36" s="6" t="s">
        <v>169</v>
      </c>
      <c r="G36" s="6" t="s">
        <v>328</v>
      </c>
    </row>
    <row r="37" spans="1:7" ht="29" x14ac:dyDescent="0.35">
      <c r="A37" s="6" t="s">
        <v>140</v>
      </c>
      <c r="B37" s="6" t="s">
        <v>301</v>
      </c>
      <c r="C37" s="6" t="s">
        <v>329</v>
      </c>
      <c r="D37" s="6" t="s">
        <v>330</v>
      </c>
      <c r="E37" s="6" t="s">
        <v>331</v>
      </c>
      <c r="F37" s="6" t="s">
        <v>169</v>
      </c>
      <c r="G37" s="6" t="s">
        <v>332</v>
      </c>
    </row>
    <row r="38" spans="1:7" ht="29" x14ac:dyDescent="0.35">
      <c r="A38" s="6" t="s">
        <v>140</v>
      </c>
      <c r="B38" s="6" t="s">
        <v>301</v>
      </c>
      <c r="C38" s="6" t="s">
        <v>329</v>
      </c>
      <c r="D38" s="6" t="s">
        <v>330</v>
      </c>
      <c r="E38" s="6" t="s">
        <v>333</v>
      </c>
      <c r="F38" s="6" t="s">
        <v>160</v>
      </c>
      <c r="G38" s="6" t="s">
        <v>334</v>
      </c>
    </row>
    <row r="39" spans="1:7" ht="29" x14ac:dyDescent="0.35">
      <c r="A39" s="6" t="s">
        <v>140</v>
      </c>
      <c r="B39" s="6" t="s">
        <v>301</v>
      </c>
      <c r="C39" s="6" t="s">
        <v>335</v>
      </c>
      <c r="D39" s="6" t="s">
        <v>336</v>
      </c>
      <c r="E39" s="6" t="s">
        <v>337</v>
      </c>
      <c r="F39" s="6" t="s">
        <v>150</v>
      </c>
      <c r="G39" s="6" t="s">
        <v>338</v>
      </c>
    </row>
    <row r="40" spans="1:7" ht="29" x14ac:dyDescent="0.35">
      <c r="A40" s="6" t="s">
        <v>140</v>
      </c>
      <c r="B40" s="6" t="s">
        <v>301</v>
      </c>
      <c r="C40" s="6" t="s">
        <v>335</v>
      </c>
      <c r="D40" s="6" t="s">
        <v>336</v>
      </c>
      <c r="E40" s="6" t="s">
        <v>339</v>
      </c>
      <c r="F40" s="6" t="s">
        <v>188</v>
      </c>
      <c r="G40" s="6" t="s">
        <v>340</v>
      </c>
    </row>
    <row r="41" spans="1:7" ht="29" x14ac:dyDescent="0.35">
      <c r="A41" s="6" t="s">
        <v>140</v>
      </c>
      <c r="B41" s="6" t="s">
        <v>301</v>
      </c>
      <c r="C41" s="6" t="s">
        <v>341</v>
      </c>
      <c r="D41" s="6" t="s">
        <v>324</v>
      </c>
      <c r="E41" s="6" t="s">
        <v>342</v>
      </c>
      <c r="F41" s="6" t="s">
        <v>135</v>
      </c>
      <c r="G41" s="6" t="s">
        <v>343</v>
      </c>
    </row>
    <row r="42" spans="1:7" ht="29" x14ac:dyDescent="0.35">
      <c r="A42" s="6" t="s">
        <v>140</v>
      </c>
      <c r="B42" s="6" t="s">
        <v>301</v>
      </c>
      <c r="C42" s="6" t="s">
        <v>344</v>
      </c>
      <c r="D42" s="6" t="s">
        <v>345</v>
      </c>
      <c r="E42" s="6" t="s">
        <v>346</v>
      </c>
      <c r="F42" s="6" t="s">
        <v>169</v>
      </c>
      <c r="G42" s="6" t="s">
        <v>347</v>
      </c>
    </row>
    <row r="43" spans="1:7" ht="29" x14ac:dyDescent="0.35">
      <c r="A43" s="6" t="s">
        <v>140</v>
      </c>
      <c r="B43" s="6" t="s">
        <v>301</v>
      </c>
      <c r="C43" s="6" t="s">
        <v>344</v>
      </c>
      <c r="D43" s="6" t="s">
        <v>345</v>
      </c>
      <c r="E43" s="6" t="s">
        <v>348</v>
      </c>
      <c r="F43" s="6" t="s">
        <v>160</v>
      </c>
      <c r="G43" s="6" t="s">
        <v>349</v>
      </c>
    </row>
    <row r="44" spans="1:7" ht="29" x14ac:dyDescent="0.35">
      <c r="A44" s="6" t="s">
        <v>140</v>
      </c>
      <c r="B44" s="6" t="s">
        <v>301</v>
      </c>
      <c r="C44" s="6" t="s">
        <v>344</v>
      </c>
      <c r="D44" s="6" t="s">
        <v>345</v>
      </c>
      <c r="E44" s="6" t="s">
        <v>350</v>
      </c>
      <c r="F44" s="6" t="s">
        <v>182</v>
      </c>
      <c r="G44" s="6" t="s">
        <v>351</v>
      </c>
    </row>
    <row r="45" spans="1:7" ht="29" x14ac:dyDescent="0.35">
      <c r="A45" s="6" t="s">
        <v>140</v>
      </c>
      <c r="B45" s="6" t="s">
        <v>301</v>
      </c>
      <c r="C45" s="6" t="s">
        <v>292</v>
      </c>
      <c r="D45" s="6" t="s">
        <v>292</v>
      </c>
      <c r="E45" s="6" t="s">
        <v>352</v>
      </c>
      <c r="F45" s="6" t="s">
        <v>200</v>
      </c>
      <c r="G45" s="6" t="s">
        <v>297</v>
      </c>
    </row>
    <row r="46" spans="1:7" ht="29" x14ac:dyDescent="0.35">
      <c r="A46" s="6" t="s">
        <v>140</v>
      </c>
      <c r="B46" s="6" t="s">
        <v>301</v>
      </c>
      <c r="C46" s="6" t="s">
        <v>292</v>
      </c>
      <c r="D46" s="6" t="s">
        <v>292</v>
      </c>
      <c r="E46" s="6" t="s">
        <v>353</v>
      </c>
      <c r="F46" s="6" t="s">
        <v>200</v>
      </c>
      <c r="G46" s="6" t="s">
        <v>298</v>
      </c>
    </row>
    <row r="47" spans="1:7" ht="29" x14ac:dyDescent="0.35">
      <c r="A47" s="6" t="s">
        <v>140</v>
      </c>
      <c r="B47" s="6" t="s">
        <v>301</v>
      </c>
      <c r="C47" s="6" t="s">
        <v>292</v>
      </c>
      <c r="D47" s="6" t="s">
        <v>292</v>
      </c>
      <c r="E47" s="6" t="s">
        <v>354</v>
      </c>
      <c r="F47" s="6" t="s">
        <v>182</v>
      </c>
      <c r="G47" s="6" t="s">
        <v>299</v>
      </c>
    </row>
    <row r="48" spans="1:7" ht="29" x14ac:dyDescent="0.35">
      <c r="A48" s="6" t="s">
        <v>140</v>
      </c>
      <c r="B48" s="6" t="s">
        <v>301</v>
      </c>
      <c r="C48" s="6" t="s">
        <v>292</v>
      </c>
      <c r="D48" s="6" t="s">
        <v>292</v>
      </c>
      <c r="E48" s="6" t="s">
        <v>355</v>
      </c>
      <c r="F48" s="6" t="s">
        <v>204</v>
      </c>
      <c r="G48" s="6" t="s">
        <v>300</v>
      </c>
    </row>
    <row r="49" spans="1:7" x14ac:dyDescent="0.35">
      <c r="A49" s="6" t="s">
        <v>146</v>
      </c>
      <c r="B49" s="6" t="s">
        <v>356</v>
      </c>
      <c r="C49" s="6" t="s">
        <v>357</v>
      </c>
      <c r="D49" s="6" t="s">
        <v>358</v>
      </c>
      <c r="E49" s="6" t="s">
        <v>359</v>
      </c>
      <c r="F49" s="6" t="s">
        <v>188</v>
      </c>
      <c r="G49" s="6" t="s">
        <v>360</v>
      </c>
    </row>
    <row r="50" spans="1:7" x14ac:dyDescent="0.35">
      <c r="A50" s="6" t="s">
        <v>146</v>
      </c>
      <c r="B50" s="6" t="s">
        <v>356</v>
      </c>
      <c r="C50" s="6" t="s">
        <v>357</v>
      </c>
      <c r="D50" s="6" t="s">
        <v>361</v>
      </c>
      <c r="E50" s="6" t="s">
        <v>362</v>
      </c>
      <c r="F50" s="6" t="s">
        <v>188</v>
      </c>
      <c r="G50" s="6" t="s">
        <v>363</v>
      </c>
    </row>
    <row r="51" spans="1:7" x14ac:dyDescent="0.35">
      <c r="A51" s="6" t="s">
        <v>146</v>
      </c>
      <c r="B51" s="6" t="s">
        <v>356</v>
      </c>
      <c r="C51" s="6" t="s">
        <v>364</v>
      </c>
      <c r="D51" s="6" t="s">
        <v>365</v>
      </c>
      <c r="E51" s="6" t="s">
        <v>366</v>
      </c>
      <c r="F51" s="6" t="s">
        <v>188</v>
      </c>
      <c r="G51" s="6" t="s">
        <v>367</v>
      </c>
    </row>
    <row r="52" spans="1:7" x14ac:dyDescent="0.35">
      <c r="A52" s="6" t="s">
        <v>146</v>
      </c>
      <c r="B52" s="6" t="s">
        <v>356</v>
      </c>
      <c r="C52" s="6" t="s">
        <v>364</v>
      </c>
      <c r="D52" s="6" t="s">
        <v>365</v>
      </c>
      <c r="E52" s="6" t="s">
        <v>368</v>
      </c>
      <c r="F52" s="6" t="s">
        <v>188</v>
      </c>
      <c r="G52" s="6" t="s">
        <v>369</v>
      </c>
    </row>
    <row r="53" spans="1:7" x14ac:dyDescent="0.35">
      <c r="A53" s="6" t="s">
        <v>146</v>
      </c>
      <c r="B53" s="6" t="s">
        <v>356</v>
      </c>
      <c r="C53" s="6" t="s">
        <v>370</v>
      </c>
      <c r="D53" s="6" t="s">
        <v>371</v>
      </c>
      <c r="E53" s="6" t="s">
        <v>372</v>
      </c>
      <c r="F53" s="6" t="s">
        <v>208</v>
      </c>
      <c r="G53" s="6" t="s">
        <v>373</v>
      </c>
    </row>
    <row r="54" spans="1:7" x14ac:dyDescent="0.35">
      <c r="A54" s="6" t="s">
        <v>146</v>
      </c>
      <c r="B54" s="6" t="s">
        <v>356</v>
      </c>
      <c r="C54" s="6" t="s">
        <v>370</v>
      </c>
      <c r="D54" s="6" t="s">
        <v>371</v>
      </c>
      <c r="E54" s="6" t="s">
        <v>374</v>
      </c>
      <c r="F54" s="6" t="s">
        <v>208</v>
      </c>
      <c r="G54" s="6" t="s">
        <v>375</v>
      </c>
    </row>
    <row r="55" spans="1:7" x14ac:dyDescent="0.35">
      <c r="A55" s="6" t="s">
        <v>146</v>
      </c>
      <c r="B55" s="6" t="s">
        <v>356</v>
      </c>
      <c r="C55" s="6" t="s">
        <v>370</v>
      </c>
      <c r="D55" s="6" t="s">
        <v>371</v>
      </c>
      <c r="E55" s="6" t="s">
        <v>376</v>
      </c>
      <c r="F55" s="6" t="s">
        <v>208</v>
      </c>
      <c r="G55" s="6" t="s">
        <v>377</v>
      </c>
    </row>
    <row r="56" spans="1:7" x14ac:dyDescent="0.35">
      <c r="A56" s="6" t="s">
        <v>146</v>
      </c>
      <c r="B56" s="6" t="s">
        <v>356</v>
      </c>
      <c r="C56" s="6" t="s">
        <v>357</v>
      </c>
      <c r="D56" s="6" t="s">
        <v>378</v>
      </c>
      <c r="E56" s="6" t="s">
        <v>357</v>
      </c>
      <c r="F56" s="6" t="s">
        <v>212</v>
      </c>
      <c r="G56" s="6" t="s">
        <v>379</v>
      </c>
    </row>
    <row r="57" spans="1:7" x14ac:dyDescent="0.35">
      <c r="A57" s="6" t="s">
        <v>146</v>
      </c>
      <c r="B57" s="6" t="s">
        <v>356</v>
      </c>
      <c r="C57" s="6" t="s">
        <v>357</v>
      </c>
      <c r="D57" s="6" t="s">
        <v>378</v>
      </c>
      <c r="E57" s="6" t="s">
        <v>380</v>
      </c>
      <c r="F57" s="6" t="s">
        <v>212</v>
      </c>
      <c r="G57" s="6" t="s">
        <v>381</v>
      </c>
    </row>
    <row r="58" spans="1:7" x14ac:dyDescent="0.35">
      <c r="A58" s="6" t="s">
        <v>146</v>
      </c>
      <c r="B58" s="6" t="s">
        <v>356</v>
      </c>
      <c r="C58" s="6" t="s">
        <v>382</v>
      </c>
      <c r="D58" s="6" t="s">
        <v>383</v>
      </c>
      <c r="E58" s="6" t="s">
        <v>384</v>
      </c>
      <c r="F58" s="6" t="s">
        <v>143</v>
      </c>
      <c r="G58" s="6" t="s">
        <v>217</v>
      </c>
    </row>
    <row r="59" spans="1:7" x14ac:dyDescent="0.35">
      <c r="A59" s="6" t="s">
        <v>146</v>
      </c>
      <c r="B59" s="6" t="s">
        <v>356</v>
      </c>
      <c r="C59" s="6" t="s">
        <v>382</v>
      </c>
      <c r="D59" s="6" t="s">
        <v>383</v>
      </c>
      <c r="E59" s="6" t="s">
        <v>385</v>
      </c>
      <c r="F59" s="6" t="s">
        <v>143</v>
      </c>
      <c r="G59" s="6" t="s">
        <v>386</v>
      </c>
    </row>
    <row r="60" spans="1:7" ht="29" x14ac:dyDescent="0.35">
      <c r="A60" s="6" t="s">
        <v>146</v>
      </c>
      <c r="B60" s="6" t="s">
        <v>356</v>
      </c>
      <c r="C60" s="6" t="s">
        <v>387</v>
      </c>
      <c r="D60" s="6" t="s">
        <v>388</v>
      </c>
      <c r="E60" s="6" t="s">
        <v>389</v>
      </c>
      <c r="F60" s="6" t="s">
        <v>216</v>
      </c>
      <c r="G60" s="6" t="s">
        <v>390</v>
      </c>
    </row>
    <row r="61" spans="1:7" ht="29" x14ac:dyDescent="0.35">
      <c r="A61" s="6" t="s">
        <v>146</v>
      </c>
      <c r="B61" s="6" t="s">
        <v>356</v>
      </c>
      <c r="C61" s="6" t="s">
        <v>387</v>
      </c>
      <c r="D61" s="6" t="s">
        <v>388</v>
      </c>
      <c r="E61" s="6" t="s">
        <v>391</v>
      </c>
      <c r="F61" s="6" t="s">
        <v>216</v>
      </c>
      <c r="G61" s="6" t="s">
        <v>392</v>
      </c>
    </row>
    <row r="62" spans="1:7" x14ac:dyDescent="0.35">
      <c r="A62" s="6" t="s">
        <v>146</v>
      </c>
      <c r="B62" s="6" t="s">
        <v>356</v>
      </c>
      <c r="C62" s="6" t="s">
        <v>393</v>
      </c>
      <c r="D62" s="6" t="s">
        <v>394</v>
      </c>
      <c r="E62" s="6" t="s">
        <v>395</v>
      </c>
      <c r="F62" s="6" t="s">
        <v>220</v>
      </c>
      <c r="G62" s="6" t="s">
        <v>396</v>
      </c>
    </row>
    <row r="63" spans="1:7" x14ac:dyDescent="0.35">
      <c r="A63" s="6" t="s">
        <v>146</v>
      </c>
      <c r="B63" s="6" t="s">
        <v>356</v>
      </c>
      <c r="C63" s="6" t="s">
        <v>393</v>
      </c>
      <c r="D63" s="6" t="s">
        <v>394</v>
      </c>
      <c r="E63" s="6" t="s">
        <v>397</v>
      </c>
      <c r="F63" s="6" t="s">
        <v>220</v>
      </c>
      <c r="G63" s="6" t="s">
        <v>398</v>
      </c>
    </row>
    <row r="64" spans="1:7" x14ac:dyDescent="0.35">
      <c r="A64" s="6" t="s">
        <v>146</v>
      </c>
      <c r="B64" s="6" t="s">
        <v>356</v>
      </c>
      <c r="C64" s="6" t="s">
        <v>393</v>
      </c>
      <c r="D64" s="6" t="s">
        <v>394</v>
      </c>
      <c r="E64" s="6" t="s">
        <v>399</v>
      </c>
      <c r="F64" s="6" t="s">
        <v>220</v>
      </c>
      <c r="G64" s="6" t="s">
        <v>400</v>
      </c>
    </row>
    <row r="65" spans="1:7" x14ac:dyDescent="0.35">
      <c r="A65" s="6" t="s">
        <v>610</v>
      </c>
      <c r="B65" s="6" t="s">
        <v>611</v>
      </c>
      <c r="C65" s="6" t="s">
        <v>612</v>
      </c>
      <c r="D65" s="6" t="s">
        <v>613</v>
      </c>
      <c r="E65" s="6" t="s">
        <v>614</v>
      </c>
      <c r="F65" s="6" t="s">
        <v>135</v>
      </c>
      <c r="G65" s="6" t="s">
        <v>615</v>
      </c>
    </row>
    <row r="66" spans="1:7" x14ac:dyDescent="0.35">
      <c r="A66" s="6" t="s">
        <v>610</v>
      </c>
      <c r="B66" s="6" t="s">
        <v>611</v>
      </c>
      <c r="C66" s="6" t="s">
        <v>612</v>
      </c>
      <c r="D66" s="6" t="s">
        <v>613</v>
      </c>
      <c r="E66" s="6" t="s">
        <v>618</v>
      </c>
      <c r="F66" s="6" t="s">
        <v>135</v>
      </c>
      <c r="G66" s="6" t="s">
        <v>619</v>
      </c>
    </row>
    <row r="67" spans="1:7" x14ac:dyDescent="0.35">
      <c r="A67" s="6" t="s">
        <v>610</v>
      </c>
      <c r="B67" s="6" t="s">
        <v>611</v>
      </c>
      <c r="C67" s="6" t="s">
        <v>612</v>
      </c>
      <c r="D67" s="6" t="s">
        <v>613</v>
      </c>
      <c r="E67" s="6" t="s">
        <v>623</v>
      </c>
      <c r="F67" s="6" t="s">
        <v>135</v>
      </c>
      <c r="G67" s="6" t="s">
        <v>624</v>
      </c>
    </row>
    <row r="68" spans="1:7" x14ac:dyDescent="0.35">
      <c r="A68" s="6" t="s">
        <v>610</v>
      </c>
      <c r="B68" s="6" t="s">
        <v>611</v>
      </c>
      <c r="C68" s="6" t="s">
        <v>612</v>
      </c>
      <c r="D68" s="6" t="s">
        <v>613</v>
      </c>
      <c r="E68" s="6" t="s">
        <v>622</v>
      </c>
      <c r="F68" s="6" t="s">
        <v>135</v>
      </c>
      <c r="G68" s="6" t="s">
        <v>755</v>
      </c>
    </row>
    <row r="69" spans="1:7" x14ac:dyDescent="0.35">
      <c r="A69" s="6" t="s">
        <v>610</v>
      </c>
      <c r="B69" s="6" t="s">
        <v>611</v>
      </c>
      <c r="C69" s="6" t="s">
        <v>612</v>
      </c>
      <c r="D69" s="6" t="s">
        <v>613</v>
      </c>
      <c r="E69" s="6" t="s">
        <v>626</v>
      </c>
      <c r="F69" s="6" t="s">
        <v>135</v>
      </c>
      <c r="G69" s="6" t="s">
        <v>756</v>
      </c>
    </row>
    <row r="70" spans="1:7" ht="29" x14ac:dyDescent="0.35">
      <c r="A70" s="6" t="s">
        <v>610</v>
      </c>
      <c r="B70" s="6" t="s">
        <v>611</v>
      </c>
      <c r="C70" s="6" t="s">
        <v>612</v>
      </c>
      <c r="D70" s="6" t="s">
        <v>613</v>
      </c>
      <c r="E70" s="6" t="s">
        <v>632</v>
      </c>
      <c r="F70" s="6" t="s">
        <v>135</v>
      </c>
      <c r="G70" s="6" t="s">
        <v>757</v>
      </c>
    </row>
    <row r="71" spans="1:7" ht="29" x14ac:dyDescent="0.35">
      <c r="A71" s="6" t="s">
        <v>610</v>
      </c>
      <c r="B71" s="6" t="s">
        <v>611</v>
      </c>
      <c r="C71" s="6" t="s">
        <v>612</v>
      </c>
      <c r="D71" s="6" t="s">
        <v>613</v>
      </c>
      <c r="E71" s="6" t="s">
        <v>637</v>
      </c>
      <c r="F71" s="6" t="s">
        <v>135</v>
      </c>
      <c r="G71" s="6" t="s">
        <v>758</v>
      </c>
    </row>
    <row r="72" spans="1:7" x14ac:dyDescent="0.35">
      <c r="A72" s="6" t="s">
        <v>610</v>
      </c>
      <c r="B72" s="6" t="s">
        <v>611</v>
      </c>
      <c r="C72" s="6" t="s">
        <v>612</v>
      </c>
      <c r="D72" s="6" t="s">
        <v>613</v>
      </c>
      <c r="E72" s="6" t="s">
        <v>627</v>
      </c>
      <c r="F72" s="6" t="s">
        <v>628</v>
      </c>
      <c r="G72" s="6" t="s">
        <v>629</v>
      </c>
    </row>
    <row r="73" spans="1:7" x14ac:dyDescent="0.35">
      <c r="A73" s="6" t="s">
        <v>610</v>
      </c>
      <c r="B73" s="6" t="s">
        <v>611</v>
      </c>
      <c r="C73" s="6" t="s">
        <v>612</v>
      </c>
      <c r="D73" s="6" t="s">
        <v>613</v>
      </c>
      <c r="E73" s="6" t="s">
        <v>633</v>
      </c>
      <c r="F73" s="6" t="s">
        <v>160</v>
      </c>
      <c r="G73" s="6" t="s">
        <v>634</v>
      </c>
    </row>
    <row r="74" spans="1:7" x14ac:dyDescent="0.35">
      <c r="A74" s="6" t="s">
        <v>610</v>
      </c>
      <c r="B74" s="6" t="s">
        <v>611</v>
      </c>
      <c r="C74" s="6" t="s">
        <v>612</v>
      </c>
      <c r="D74" s="6" t="s">
        <v>613</v>
      </c>
      <c r="E74" s="6" t="s">
        <v>638</v>
      </c>
      <c r="F74" s="6" t="s">
        <v>135</v>
      </c>
      <c r="G74" s="6" t="s">
        <v>639</v>
      </c>
    </row>
    <row r="75" spans="1:7" x14ac:dyDescent="0.35">
      <c r="A75" s="6" t="s">
        <v>610</v>
      </c>
      <c r="B75" s="6" t="s">
        <v>611</v>
      </c>
      <c r="C75" s="6" t="s">
        <v>641</v>
      </c>
      <c r="D75" s="6" t="s">
        <v>642</v>
      </c>
      <c r="E75" s="6" t="s">
        <v>643</v>
      </c>
      <c r="F75" s="6" t="s">
        <v>135</v>
      </c>
      <c r="G75" s="6" t="s">
        <v>644</v>
      </c>
    </row>
    <row r="76" spans="1:7" x14ac:dyDescent="0.35">
      <c r="A76" s="6" t="s">
        <v>610</v>
      </c>
      <c r="B76" s="6" t="s">
        <v>611</v>
      </c>
      <c r="C76" s="6" t="s">
        <v>641</v>
      </c>
      <c r="D76" s="6" t="s">
        <v>642</v>
      </c>
      <c r="E76" s="6" t="s">
        <v>647</v>
      </c>
      <c r="F76" s="6" t="s">
        <v>135</v>
      </c>
      <c r="G76" s="6" t="s">
        <v>648</v>
      </c>
    </row>
    <row r="77" spans="1:7" x14ac:dyDescent="0.35">
      <c r="A77" s="6" t="s">
        <v>610</v>
      </c>
      <c r="B77" s="6" t="s">
        <v>611</v>
      </c>
      <c r="C77" s="6" t="s">
        <v>641</v>
      </c>
      <c r="D77" s="6" t="s">
        <v>642</v>
      </c>
      <c r="E77" s="6" t="s">
        <v>651</v>
      </c>
      <c r="F77" s="6" t="s">
        <v>169</v>
      </c>
      <c r="G77" s="6" t="s">
        <v>652</v>
      </c>
    </row>
    <row r="78" spans="1:7" x14ac:dyDescent="0.35">
      <c r="A78" s="6" t="s">
        <v>610</v>
      </c>
      <c r="B78" s="6" t="s">
        <v>611</v>
      </c>
      <c r="C78" s="6" t="s">
        <v>641</v>
      </c>
      <c r="D78" s="6" t="s">
        <v>642</v>
      </c>
      <c r="E78" s="6" t="s">
        <v>655</v>
      </c>
      <c r="F78" s="6" t="s">
        <v>188</v>
      </c>
      <c r="G78" s="6" t="s">
        <v>656</v>
      </c>
    </row>
    <row r="79" spans="1:7" x14ac:dyDescent="0.35">
      <c r="A79" s="6" t="s">
        <v>610</v>
      </c>
      <c r="B79" s="6" t="s">
        <v>611</v>
      </c>
      <c r="C79" s="6" t="s">
        <v>641</v>
      </c>
      <c r="D79" s="6" t="s">
        <v>642</v>
      </c>
      <c r="E79" s="6" t="s">
        <v>659</v>
      </c>
      <c r="F79" s="6" t="s">
        <v>150</v>
      </c>
      <c r="G79" s="6" t="s">
        <v>660</v>
      </c>
    </row>
    <row r="80" spans="1:7" x14ac:dyDescent="0.35">
      <c r="A80" s="6" t="s">
        <v>610</v>
      </c>
      <c r="B80" s="6" t="s">
        <v>611</v>
      </c>
      <c r="C80" s="6" t="s">
        <v>663</v>
      </c>
      <c r="D80" s="6" t="s">
        <v>664</v>
      </c>
      <c r="E80" s="6" t="s">
        <v>614</v>
      </c>
      <c r="F80" s="6" t="s">
        <v>135</v>
      </c>
      <c r="G80" s="6" t="s">
        <v>615</v>
      </c>
    </row>
    <row r="81" spans="1:7" x14ac:dyDescent="0.35">
      <c r="A81" s="6" t="s">
        <v>610</v>
      </c>
      <c r="B81" s="6" t="s">
        <v>611</v>
      </c>
      <c r="C81" s="6" t="s">
        <v>663</v>
      </c>
      <c r="D81" s="6" t="s">
        <v>664</v>
      </c>
      <c r="E81" s="6" t="s">
        <v>667</v>
      </c>
      <c r="F81" s="6" t="s">
        <v>160</v>
      </c>
      <c r="G81" s="6" t="s">
        <v>668</v>
      </c>
    </row>
    <row r="82" spans="1:7" x14ac:dyDescent="0.35">
      <c r="A82" s="6" t="s">
        <v>610</v>
      </c>
      <c r="B82" s="6" t="s">
        <v>611</v>
      </c>
      <c r="C82" s="6" t="s">
        <v>663</v>
      </c>
      <c r="D82" s="6" t="s">
        <v>664</v>
      </c>
      <c r="E82" s="6" t="s">
        <v>671</v>
      </c>
      <c r="F82" s="6" t="s">
        <v>160</v>
      </c>
      <c r="G82" s="6" t="s">
        <v>672</v>
      </c>
    </row>
    <row r="83" spans="1:7" x14ac:dyDescent="0.35">
      <c r="A83" s="6" t="s">
        <v>610</v>
      </c>
      <c r="B83" s="6" t="s">
        <v>611</v>
      </c>
      <c r="C83" s="6" t="s">
        <v>663</v>
      </c>
      <c r="D83" s="6" t="s">
        <v>664</v>
      </c>
      <c r="E83" s="6" t="s">
        <v>675</v>
      </c>
      <c r="F83" s="6" t="s">
        <v>160</v>
      </c>
      <c r="G83" s="6" t="s">
        <v>657</v>
      </c>
    </row>
    <row r="84" spans="1:7" x14ac:dyDescent="0.35">
      <c r="A84" s="6" t="s">
        <v>610</v>
      </c>
      <c r="B84" s="6" t="s">
        <v>611</v>
      </c>
      <c r="C84" s="6" t="s">
        <v>663</v>
      </c>
      <c r="D84" s="6" t="s">
        <v>664</v>
      </c>
      <c r="E84" s="6" t="s">
        <v>759</v>
      </c>
      <c r="F84" s="6" t="s">
        <v>160</v>
      </c>
      <c r="G84" s="6" t="s">
        <v>760</v>
      </c>
    </row>
    <row r="85" spans="1:7" x14ac:dyDescent="0.35">
      <c r="A85" s="6" t="s">
        <v>610</v>
      </c>
      <c r="B85" s="6" t="s">
        <v>611</v>
      </c>
      <c r="C85" s="6" t="s">
        <v>663</v>
      </c>
      <c r="D85" s="6" t="s">
        <v>664</v>
      </c>
      <c r="E85" s="6" t="s">
        <v>626</v>
      </c>
      <c r="F85" s="6" t="s">
        <v>169</v>
      </c>
      <c r="G85" s="6" t="s">
        <v>678</v>
      </c>
    </row>
    <row r="86" spans="1:7" x14ac:dyDescent="0.35">
      <c r="A86" s="6" t="s">
        <v>610</v>
      </c>
      <c r="B86" s="6" t="s">
        <v>611</v>
      </c>
      <c r="C86" s="6" t="s">
        <v>680</v>
      </c>
      <c r="D86" s="6" t="s">
        <v>681</v>
      </c>
      <c r="E86" s="6" t="s">
        <v>682</v>
      </c>
      <c r="F86" s="6" t="s">
        <v>628</v>
      </c>
      <c r="G86" s="6" t="s">
        <v>683</v>
      </c>
    </row>
    <row r="87" spans="1:7" ht="29" x14ac:dyDescent="0.35">
      <c r="A87" s="6" t="s">
        <v>610</v>
      </c>
      <c r="B87" s="6" t="s">
        <v>611</v>
      </c>
      <c r="C87" s="6" t="s">
        <v>680</v>
      </c>
      <c r="D87" s="6" t="s">
        <v>681</v>
      </c>
      <c r="E87" s="6" t="s">
        <v>686</v>
      </c>
      <c r="F87" s="6" t="s">
        <v>687</v>
      </c>
      <c r="G87" s="6" t="s">
        <v>688</v>
      </c>
    </row>
    <row r="88" spans="1:7" x14ac:dyDescent="0.35">
      <c r="A88" s="6" t="s">
        <v>610</v>
      </c>
      <c r="B88" s="6" t="s">
        <v>611</v>
      </c>
      <c r="C88" s="6" t="s">
        <v>691</v>
      </c>
      <c r="D88" s="6" t="s">
        <v>692</v>
      </c>
      <c r="E88" s="6" t="s">
        <v>693</v>
      </c>
      <c r="F88" s="6" t="s">
        <v>135</v>
      </c>
      <c r="G88" s="6" t="s">
        <v>694</v>
      </c>
    </row>
    <row r="89" spans="1:7" x14ac:dyDescent="0.35">
      <c r="A89" s="6" t="s">
        <v>610</v>
      </c>
      <c r="B89" s="6" t="s">
        <v>611</v>
      </c>
      <c r="C89" s="6" t="s">
        <v>691</v>
      </c>
      <c r="D89" s="6" t="s">
        <v>692</v>
      </c>
      <c r="E89" s="6" t="s">
        <v>697</v>
      </c>
      <c r="F89" s="6" t="s">
        <v>169</v>
      </c>
      <c r="G89" s="6" t="s">
        <v>698</v>
      </c>
    </row>
    <row r="90" spans="1:7" x14ac:dyDescent="0.35">
      <c r="A90" s="6" t="s">
        <v>610</v>
      </c>
      <c r="B90" s="6" t="s">
        <v>611</v>
      </c>
      <c r="C90" s="6" t="s">
        <v>700</v>
      </c>
      <c r="D90" s="6" t="s">
        <v>701</v>
      </c>
      <c r="E90" s="6" t="s">
        <v>702</v>
      </c>
      <c r="F90" s="6" t="s">
        <v>703</v>
      </c>
      <c r="G90" s="6" t="s">
        <v>704</v>
      </c>
    </row>
    <row r="91" spans="1:7" x14ac:dyDescent="0.35">
      <c r="A91" s="6" t="s">
        <v>610</v>
      </c>
      <c r="B91" s="6" t="s">
        <v>611</v>
      </c>
      <c r="C91" s="6" t="s">
        <v>700</v>
      </c>
      <c r="D91" s="6" t="s">
        <v>701</v>
      </c>
      <c r="E91" s="6" t="s">
        <v>706</v>
      </c>
      <c r="F91" s="6" t="s">
        <v>169</v>
      </c>
      <c r="G91" s="6" t="s">
        <v>707</v>
      </c>
    </row>
    <row r="92" spans="1:7" x14ac:dyDescent="0.35">
      <c r="A92" s="6" t="s">
        <v>610</v>
      </c>
      <c r="B92" s="6" t="s">
        <v>611</v>
      </c>
      <c r="C92" s="6" t="s">
        <v>700</v>
      </c>
      <c r="D92" s="6" t="s">
        <v>701</v>
      </c>
      <c r="E92" s="6" t="s">
        <v>711</v>
      </c>
      <c r="F92" s="6" t="s">
        <v>169</v>
      </c>
      <c r="G92" s="6" t="s">
        <v>524</v>
      </c>
    </row>
    <row r="93" spans="1:7" x14ac:dyDescent="0.35">
      <c r="A93" s="6" t="s">
        <v>610</v>
      </c>
      <c r="B93" s="6" t="s">
        <v>611</v>
      </c>
      <c r="C93" s="6" t="s">
        <v>700</v>
      </c>
      <c r="D93" s="6" t="s">
        <v>701</v>
      </c>
      <c r="E93" s="6" t="s">
        <v>714</v>
      </c>
      <c r="F93" s="6" t="s">
        <v>628</v>
      </c>
      <c r="G93" s="6" t="s">
        <v>715</v>
      </c>
    </row>
    <row r="96" spans="1:7" ht="16" x14ac:dyDescent="0.4">
      <c r="A96" s="37" t="s">
        <v>401</v>
      </c>
    </row>
    <row r="97" spans="1:4" x14ac:dyDescent="0.35">
      <c r="A97" s="6" t="s">
        <v>27</v>
      </c>
      <c r="B97" s="6" t="s">
        <v>45</v>
      </c>
      <c r="C97" s="6" t="s">
        <v>402</v>
      </c>
      <c r="D97" s="6" t="s">
        <v>252</v>
      </c>
    </row>
    <row r="98" spans="1:4" ht="29" x14ac:dyDescent="0.35">
      <c r="A98" s="6" t="s">
        <v>62</v>
      </c>
      <c r="B98" s="6" t="s">
        <v>135</v>
      </c>
      <c r="C98" s="6" t="s">
        <v>403</v>
      </c>
      <c r="D98" s="6" t="s">
        <v>404</v>
      </c>
    </row>
    <row r="99" spans="1:4" x14ac:dyDescent="0.35">
      <c r="A99" s="6" t="s">
        <v>62</v>
      </c>
      <c r="B99" s="6" t="s">
        <v>135</v>
      </c>
      <c r="C99" s="6" t="s">
        <v>405</v>
      </c>
      <c r="D99" s="6" t="s">
        <v>406</v>
      </c>
    </row>
    <row r="100" spans="1:4" x14ac:dyDescent="0.35">
      <c r="A100" s="6" t="s">
        <v>62</v>
      </c>
      <c r="B100" s="6" t="s">
        <v>135</v>
      </c>
      <c r="C100" s="6" t="s">
        <v>407</v>
      </c>
      <c r="D100" s="6" t="s">
        <v>408</v>
      </c>
    </row>
    <row r="101" spans="1:4" x14ac:dyDescent="0.35">
      <c r="A101" s="6" t="s">
        <v>62</v>
      </c>
      <c r="B101" s="6" t="s">
        <v>160</v>
      </c>
      <c r="C101" s="6" t="s">
        <v>409</v>
      </c>
      <c r="D101" s="6" t="s">
        <v>410</v>
      </c>
    </row>
    <row r="102" spans="1:4" x14ac:dyDescent="0.35">
      <c r="A102" s="6" t="s">
        <v>62</v>
      </c>
      <c r="B102" s="6" t="s">
        <v>160</v>
      </c>
      <c r="C102" s="6" t="s">
        <v>411</v>
      </c>
      <c r="D102" s="6" t="s">
        <v>412</v>
      </c>
    </row>
    <row r="103" spans="1:4" x14ac:dyDescent="0.35">
      <c r="A103" s="6" t="s">
        <v>62</v>
      </c>
      <c r="B103" s="6" t="s">
        <v>160</v>
      </c>
      <c r="C103" s="6" t="s">
        <v>413</v>
      </c>
      <c r="D103" s="6" t="s">
        <v>414</v>
      </c>
    </row>
    <row r="104" spans="1:4" x14ac:dyDescent="0.35">
      <c r="A104" s="6" t="s">
        <v>62</v>
      </c>
      <c r="B104" s="6" t="s">
        <v>169</v>
      </c>
      <c r="C104" s="6" t="s">
        <v>415</v>
      </c>
      <c r="D104" s="6" t="s">
        <v>416</v>
      </c>
    </row>
    <row r="105" spans="1:4" x14ac:dyDescent="0.35">
      <c r="A105" s="6" t="s">
        <v>62</v>
      </c>
      <c r="B105" s="6" t="s">
        <v>169</v>
      </c>
      <c r="C105" s="6" t="s">
        <v>417</v>
      </c>
      <c r="D105" s="6" t="s">
        <v>418</v>
      </c>
    </row>
    <row r="106" spans="1:4" x14ac:dyDescent="0.35">
      <c r="A106" s="6" t="s">
        <v>62</v>
      </c>
      <c r="B106" s="6" t="s">
        <v>169</v>
      </c>
      <c r="C106" s="6" t="s">
        <v>419</v>
      </c>
      <c r="D106" s="6" t="s">
        <v>420</v>
      </c>
    </row>
    <row r="107" spans="1:4" x14ac:dyDescent="0.35">
      <c r="A107" s="6" t="s">
        <v>62</v>
      </c>
      <c r="B107" s="6" t="s">
        <v>182</v>
      </c>
      <c r="C107" s="6" t="s">
        <v>421</v>
      </c>
      <c r="D107" s="6" t="s">
        <v>422</v>
      </c>
    </row>
    <row r="108" spans="1:4" x14ac:dyDescent="0.35">
      <c r="A108" s="6" t="s">
        <v>62</v>
      </c>
      <c r="B108" s="6" t="s">
        <v>182</v>
      </c>
      <c r="C108" s="6" t="s">
        <v>423</v>
      </c>
      <c r="D108" s="6" t="s">
        <v>424</v>
      </c>
    </row>
    <row r="109" spans="1:4" x14ac:dyDescent="0.35">
      <c r="A109" s="6" t="s">
        <v>62</v>
      </c>
      <c r="B109" s="6" t="s">
        <v>182</v>
      </c>
      <c r="C109" s="6" t="s">
        <v>425</v>
      </c>
      <c r="D109" s="6" t="s">
        <v>426</v>
      </c>
    </row>
    <row r="110" spans="1:4" x14ac:dyDescent="0.35">
      <c r="A110" s="6" t="s">
        <v>62</v>
      </c>
      <c r="B110" s="6" t="s">
        <v>182</v>
      </c>
      <c r="C110" s="6" t="s">
        <v>427</v>
      </c>
      <c r="D110" s="6" t="s">
        <v>428</v>
      </c>
    </row>
    <row r="111" spans="1:4" x14ac:dyDescent="0.35">
      <c r="A111" s="6" t="s">
        <v>62</v>
      </c>
      <c r="B111" s="6" t="s">
        <v>188</v>
      </c>
      <c r="C111" s="6" t="s">
        <v>429</v>
      </c>
      <c r="D111" s="6" t="s">
        <v>430</v>
      </c>
    </row>
    <row r="112" spans="1:4" x14ac:dyDescent="0.35">
      <c r="A112" s="6" t="s">
        <v>62</v>
      </c>
      <c r="B112" s="6" t="s">
        <v>188</v>
      </c>
      <c r="C112" s="6" t="s">
        <v>431</v>
      </c>
      <c r="D112" s="6" t="s">
        <v>432</v>
      </c>
    </row>
    <row r="113" spans="1:4" x14ac:dyDescent="0.35">
      <c r="A113" s="6" t="s">
        <v>62</v>
      </c>
      <c r="B113" s="6" t="s">
        <v>188</v>
      </c>
      <c r="C113" s="6" t="s">
        <v>433</v>
      </c>
      <c r="D113" s="6" t="s">
        <v>434</v>
      </c>
    </row>
    <row r="114" spans="1:4" x14ac:dyDescent="0.35">
      <c r="A114" s="6" t="s">
        <v>62</v>
      </c>
      <c r="B114" s="6" t="s">
        <v>143</v>
      </c>
      <c r="C114" s="6" t="s">
        <v>435</v>
      </c>
      <c r="D114" s="6" t="s">
        <v>436</v>
      </c>
    </row>
    <row r="115" spans="1:4" x14ac:dyDescent="0.35">
      <c r="A115" s="6" t="s">
        <v>62</v>
      </c>
      <c r="B115" s="6" t="s">
        <v>143</v>
      </c>
      <c r="C115" s="6" t="s">
        <v>437</v>
      </c>
      <c r="D115" s="6" t="s">
        <v>438</v>
      </c>
    </row>
    <row r="116" spans="1:4" x14ac:dyDescent="0.35">
      <c r="A116" s="6" t="s">
        <v>62</v>
      </c>
      <c r="B116" s="6" t="s">
        <v>143</v>
      </c>
      <c r="C116" s="6" t="s">
        <v>439</v>
      </c>
      <c r="D116" s="6" t="s">
        <v>440</v>
      </c>
    </row>
    <row r="117" spans="1:4" x14ac:dyDescent="0.35">
      <c r="A117" s="6" t="s">
        <v>62</v>
      </c>
      <c r="B117" s="6" t="s">
        <v>150</v>
      </c>
      <c r="C117" s="6" t="s">
        <v>441</v>
      </c>
      <c r="D117" s="6" t="s">
        <v>442</v>
      </c>
    </row>
    <row r="118" spans="1:4" x14ac:dyDescent="0.35">
      <c r="A118" s="6" t="s">
        <v>62</v>
      </c>
      <c r="B118" s="6" t="s">
        <v>150</v>
      </c>
      <c r="C118" s="6" t="s">
        <v>443</v>
      </c>
      <c r="D118" s="6" t="s">
        <v>444</v>
      </c>
    </row>
    <row r="119" spans="1:4" x14ac:dyDescent="0.35">
      <c r="A119" s="6" t="s">
        <v>62</v>
      </c>
      <c r="B119" s="6" t="s">
        <v>150</v>
      </c>
      <c r="C119" s="6" t="s">
        <v>445</v>
      </c>
      <c r="D119" s="6" t="s">
        <v>446</v>
      </c>
    </row>
    <row r="120" spans="1:4" ht="29" x14ac:dyDescent="0.35">
      <c r="A120" s="6" t="s">
        <v>62</v>
      </c>
      <c r="B120" s="6" t="s">
        <v>194</v>
      </c>
      <c r="C120" s="6" t="s">
        <v>447</v>
      </c>
      <c r="D120" s="6" t="s">
        <v>448</v>
      </c>
    </row>
    <row r="121" spans="1:4" ht="29" x14ac:dyDescent="0.35">
      <c r="A121" s="6" t="s">
        <v>62</v>
      </c>
      <c r="B121" s="6" t="s">
        <v>194</v>
      </c>
      <c r="C121" s="6" t="s">
        <v>233</v>
      </c>
      <c r="D121" s="6" t="s">
        <v>449</v>
      </c>
    </row>
    <row r="122" spans="1:4" ht="29" x14ac:dyDescent="0.35">
      <c r="A122" s="6" t="s">
        <v>62</v>
      </c>
      <c r="B122" s="6" t="s">
        <v>194</v>
      </c>
      <c r="C122" s="6" t="s">
        <v>450</v>
      </c>
      <c r="D122" s="6" t="s">
        <v>451</v>
      </c>
    </row>
    <row r="123" spans="1:4" x14ac:dyDescent="0.35">
      <c r="A123" s="6" t="s">
        <v>62</v>
      </c>
      <c r="B123" s="6" t="s">
        <v>200</v>
      </c>
      <c r="C123" s="6" t="s">
        <v>297</v>
      </c>
      <c r="D123" s="6" t="s">
        <v>452</v>
      </c>
    </row>
    <row r="124" spans="1:4" x14ac:dyDescent="0.35">
      <c r="A124" s="6" t="s">
        <v>62</v>
      </c>
      <c r="B124" s="6" t="s">
        <v>200</v>
      </c>
      <c r="C124" s="6" t="s">
        <v>453</v>
      </c>
      <c r="D124" s="6" t="s">
        <v>454</v>
      </c>
    </row>
    <row r="125" spans="1:4" x14ac:dyDescent="0.35">
      <c r="A125" s="6" t="s">
        <v>62</v>
      </c>
      <c r="B125" s="6" t="s">
        <v>204</v>
      </c>
      <c r="C125" s="6" t="s">
        <v>455</v>
      </c>
      <c r="D125" s="6" t="s">
        <v>456</v>
      </c>
    </row>
    <row r="126" spans="1:4" x14ac:dyDescent="0.35">
      <c r="A126" s="6" t="s">
        <v>62</v>
      </c>
      <c r="B126" s="6" t="s">
        <v>204</v>
      </c>
      <c r="C126" s="6" t="s">
        <v>457</v>
      </c>
      <c r="D126" s="6" t="s">
        <v>458</v>
      </c>
    </row>
    <row r="127" spans="1:4" x14ac:dyDescent="0.35">
      <c r="A127" s="6" t="s">
        <v>140</v>
      </c>
      <c r="B127" s="6" t="s">
        <v>135</v>
      </c>
      <c r="C127" s="6" t="s">
        <v>459</v>
      </c>
      <c r="D127" s="6" t="s">
        <v>460</v>
      </c>
    </row>
    <row r="128" spans="1:4" x14ac:dyDescent="0.35">
      <c r="A128" s="6" t="s">
        <v>140</v>
      </c>
      <c r="B128" s="6" t="s">
        <v>135</v>
      </c>
      <c r="C128" s="6" t="s">
        <v>461</v>
      </c>
      <c r="D128" s="6" t="s">
        <v>462</v>
      </c>
    </row>
    <row r="129" spans="1:4" x14ac:dyDescent="0.35">
      <c r="A129" s="6" t="s">
        <v>140</v>
      </c>
      <c r="B129" s="6" t="s">
        <v>135</v>
      </c>
      <c r="C129" s="6" t="s">
        <v>463</v>
      </c>
      <c r="D129" s="6" t="s">
        <v>464</v>
      </c>
    </row>
    <row r="130" spans="1:4" x14ac:dyDescent="0.35">
      <c r="A130" s="6" t="s">
        <v>140</v>
      </c>
      <c r="B130" s="6" t="s">
        <v>160</v>
      </c>
      <c r="C130" s="6" t="s">
        <v>465</v>
      </c>
      <c r="D130" s="6" t="s">
        <v>466</v>
      </c>
    </row>
    <row r="131" spans="1:4" x14ac:dyDescent="0.35">
      <c r="A131" s="6" t="s">
        <v>140</v>
      </c>
      <c r="B131" s="6" t="s">
        <v>160</v>
      </c>
      <c r="C131" s="6" t="s">
        <v>467</v>
      </c>
      <c r="D131" s="6" t="s">
        <v>468</v>
      </c>
    </row>
    <row r="132" spans="1:4" x14ac:dyDescent="0.35">
      <c r="A132" s="6" t="s">
        <v>140</v>
      </c>
      <c r="B132" s="6" t="s">
        <v>160</v>
      </c>
      <c r="C132" s="6" t="s">
        <v>469</v>
      </c>
      <c r="D132" s="6" t="s">
        <v>470</v>
      </c>
    </row>
    <row r="133" spans="1:4" x14ac:dyDescent="0.35">
      <c r="A133" s="6" t="s">
        <v>140</v>
      </c>
      <c r="B133" s="6" t="s">
        <v>169</v>
      </c>
      <c r="C133" s="6" t="s">
        <v>471</v>
      </c>
      <c r="D133" s="6" t="s">
        <v>472</v>
      </c>
    </row>
    <row r="134" spans="1:4" x14ac:dyDescent="0.35">
      <c r="A134" s="6" t="s">
        <v>140</v>
      </c>
      <c r="B134" s="6" t="s">
        <v>169</v>
      </c>
      <c r="C134" s="6" t="s">
        <v>473</v>
      </c>
      <c r="D134" s="6" t="s">
        <v>474</v>
      </c>
    </row>
    <row r="135" spans="1:4" x14ac:dyDescent="0.35">
      <c r="A135" s="6" t="s">
        <v>140</v>
      </c>
      <c r="B135" s="6" t="s">
        <v>169</v>
      </c>
      <c r="C135" s="6" t="s">
        <v>475</v>
      </c>
      <c r="D135" s="6" t="s">
        <v>476</v>
      </c>
    </row>
    <row r="136" spans="1:4" x14ac:dyDescent="0.35">
      <c r="A136" s="6" t="s">
        <v>140</v>
      </c>
      <c r="B136" s="6" t="s">
        <v>169</v>
      </c>
      <c r="C136" s="6" t="s">
        <v>477</v>
      </c>
      <c r="D136" s="6" t="s">
        <v>478</v>
      </c>
    </row>
    <row r="137" spans="1:4" x14ac:dyDescent="0.35">
      <c r="A137" s="6" t="s">
        <v>140</v>
      </c>
      <c r="B137" s="6" t="s">
        <v>150</v>
      </c>
      <c r="C137" s="6" t="s">
        <v>312</v>
      </c>
      <c r="D137" s="6" t="s">
        <v>479</v>
      </c>
    </row>
    <row r="138" spans="1:4" x14ac:dyDescent="0.35">
      <c r="A138" s="6" t="s">
        <v>140</v>
      </c>
      <c r="B138" s="6" t="s">
        <v>150</v>
      </c>
      <c r="C138" s="6" t="s">
        <v>480</v>
      </c>
      <c r="D138" s="6" t="s">
        <v>481</v>
      </c>
    </row>
    <row r="139" spans="1:4" x14ac:dyDescent="0.35">
      <c r="A139" s="6" t="s">
        <v>140</v>
      </c>
      <c r="B139" s="6" t="s">
        <v>150</v>
      </c>
      <c r="C139" s="6" t="s">
        <v>482</v>
      </c>
      <c r="D139" s="6" t="s">
        <v>483</v>
      </c>
    </row>
    <row r="140" spans="1:4" x14ac:dyDescent="0.35">
      <c r="A140" s="6" t="s">
        <v>140</v>
      </c>
      <c r="B140" s="6" t="s">
        <v>188</v>
      </c>
      <c r="C140" s="6" t="s">
        <v>484</v>
      </c>
      <c r="D140" s="6" t="s">
        <v>485</v>
      </c>
    </row>
    <row r="141" spans="1:4" x14ac:dyDescent="0.35">
      <c r="A141" s="6" t="s">
        <v>140</v>
      </c>
      <c r="B141" s="6" t="s">
        <v>188</v>
      </c>
      <c r="C141" s="6" t="s">
        <v>486</v>
      </c>
      <c r="D141" s="6" t="s">
        <v>487</v>
      </c>
    </row>
    <row r="142" spans="1:4" x14ac:dyDescent="0.35">
      <c r="A142" s="6" t="s">
        <v>140</v>
      </c>
      <c r="B142" s="6" t="s">
        <v>188</v>
      </c>
      <c r="C142" s="6" t="s">
        <v>488</v>
      </c>
      <c r="D142" s="6" t="s">
        <v>489</v>
      </c>
    </row>
    <row r="143" spans="1:4" x14ac:dyDescent="0.35">
      <c r="A143" s="6" t="s">
        <v>140</v>
      </c>
      <c r="B143" s="6" t="s">
        <v>188</v>
      </c>
      <c r="C143" s="6" t="s">
        <v>490</v>
      </c>
      <c r="D143" s="6" t="s">
        <v>491</v>
      </c>
    </row>
    <row r="144" spans="1:4" x14ac:dyDescent="0.35">
      <c r="A144" s="6" t="s">
        <v>140</v>
      </c>
      <c r="B144" s="6" t="s">
        <v>143</v>
      </c>
      <c r="C144" s="6" t="s">
        <v>437</v>
      </c>
      <c r="D144" s="6" t="s">
        <v>492</v>
      </c>
    </row>
    <row r="145" spans="1:4" x14ac:dyDescent="0.35">
      <c r="A145" s="6" t="s">
        <v>140</v>
      </c>
      <c r="B145" s="6" t="s">
        <v>143</v>
      </c>
      <c r="C145" s="6" t="s">
        <v>439</v>
      </c>
      <c r="D145" s="6" t="s">
        <v>493</v>
      </c>
    </row>
    <row r="146" spans="1:4" x14ac:dyDescent="0.35">
      <c r="A146" s="6" t="s">
        <v>140</v>
      </c>
      <c r="B146" s="6" t="s">
        <v>143</v>
      </c>
      <c r="C146" s="6" t="s">
        <v>494</v>
      </c>
      <c r="D146" s="6" t="s">
        <v>495</v>
      </c>
    </row>
    <row r="147" spans="1:4" x14ac:dyDescent="0.35">
      <c r="A147" s="6" t="s">
        <v>140</v>
      </c>
      <c r="B147" s="6" t="s">
        <v>182</v>
      </c>
      <c r="C147" s="6" t="s">
        <v>496</v>
      </c>
      <c r="D147" s="6" t="s">
        <v>497</v>
      </c>
    </row>
    <row r="148" spans="1:4" x14ac:dyDescent="0.35">
      <c r="A148" s="6" t="s">
        <v>140</v>
      </c>
      <c r="B148" s="6" t="s">
        <v>182</v>
      </c>
      <c r="C148" s="6" t="s">
        <v>498</v>
      </c>
      <c r="D148" s="6" t="s">
        <v>499</v>
      </c>
    </row>
    <row r="149" spans="1:4" x14ac:dyDescent="0.35">
      <c r="A149" s="6" t="s">
        <v>140</v>
      </c>
      <c r="B149" s="6" t="s">
        <v>182</v>
      </c>
      <c r="C149" s="6" t="s">
        <v>500</v>
      </c>
      <c r="D149" s="6" t="s">
        <v>501</v>
      </c>
    </row>
    <row r="150" spans="1:4" ht="29" x14ac:dyDescent="0.35">
      <c r="A150" s="6" t="s">
        <v>140</v>
      </c>
      <c r="B150" s="6" t="s">
        <v>194</v>
      </c>
      <c r="C150" s="6" t="s">
        <v>502</v>
      </c>
      <c r="D150" s="6" t="s">
        <v>503</v>
      </c>
    </row>
    <row r="151" spans="1:4" ht="29" x14ac:dyDescent="0.35">
      <c r="A151" s="6" t="s">
        <v>140</v>
      </c>
      <c r="B151" s="6" t="s">
        <v>194</v>
      </c>
      <c r="C151" s="6" t="s">
        <v>233</v>
      </c>
      <c r="D151" s="6" t="s">
        <v>504</v>
      </c>
    </row>
    <row r="152" spans="1:4" ht="29" x14ac:dyDescent="0.35">
      <c r="A152" s="6" t="s">
        <v>140</v>
      </c>
      <c r="B152" s="6" t="s">
        <v>194</v>
      </c>
      <c r="C152" s="6" t="s">
        <v>505</v>
      </c>
      <c r="D152" s="6" t="s">
        <v>506</v>
      </c>
    </row>
    <row r="153" spans="1:4" x14ac:dyDescent="0.35">
      <c r="A153" s="6" t="s">
        <v>140</v>
      </c>
      <c r="B153" s="6" t="s">
        <v>200</v>
      </c>
      <c r="C153" s="6" t="s">
        <v>297</v>
      </c>
      <c r="D153" s="6" t="s">
        <v>507</v>
      </c>
    </row>
    <row r="154" spans="1:4" x14ac:dyDescent="0.35">
      <c r="A154" s="6" t="s">
        <v>140</v>
      </c>
      <c r="B154" s="6" t="s">
        <v>200</v>
      </c>
      <c r="C154" s="6" t="s">
        <v>508</v>
      </c>
      <c r="D154" s="6" t="s">
        <v>509</v>
      </c>
    </row>
    <row r="155" spans="1:4" x14ac:dyDescent="0.35">
      <c r="A155" s="6" t="s">
        <v>140</v>
      </c>
      <c r="B155" s="6" t="s">
        <v>204</v>
      </c>
      <c r="C155" s="6" t="s">
        <v>455</v>
      </c>
      <c r="D155" s="6" t="s">
        <v>510</v>
      </c>
    </row>
    <row r="156" spans="1:4" x14ac:dyDescent="0.35">
      <c r="A156" s="6" t="s">
        <v>140</v>
      </c>
      <c r="B156" s="6" t="s">
        <v>204</v>
      </c>
      <c r="C156" s="6" t="s">
        <v>511</v>
      </c>
      <c r="D156" s="6" t="s">
        <v>512</v>
      </c>
    </row>
    <row r="157" spans="1:4" x14ac:dyDescent="0.35">
      <c r="A157" s="6" t="s">
        <v>146</v>
      </c>
      <c r="B157" s="6" t="s">
        <v>188</v>
      </c>
      <c r="C157" s="6" t="s">
        <v>513</v>
      </c>
      <c r="D157" s="6" t="s">
        <v>360</v>
      </c>
    </row>
    <row r="158" spans="1:4" x14ac:dyDescent="0.35">
      <c r="A158" s="6" t="s">
        <v>146</v>
      </c>
      <c r="B158" s="6" t="s">
        <v>188</v>
      </c>
      <c r="C158" s="6" t="s">
        <v>484</v>
      </c>
      <c r="D158" s="6" t="s">
        <v>514</v>
      </c>
    </row>
    <row r="159" spans="1:4" x14ac:dyDescent="0.35">
      <c r="A159" s="6" t="s">
        <v>146</v>
      </c>
      <c r="B159" s="6" t="s">
        <v>188</v>
      </c>
      <c r="C159" s="6" t="s">
        <v>515</v>
      </c>
      <c r="D159" s="6" t="s">
        <v>367</v>
      </c>
    </row>
    <row r="160" spans="1:4" x14ac:dyDescent="0.35">
      <c r="A160" s="6" t="s">
        <v>146</v>
      </c>
      <c r="B160" s="6" t="s">
        <v>188</v>
      </c>
      <c r="C160" s="6" t="s">
        <v>516</v>
      </c>
      <c r="D160" s="6"/>
    </row>
    <row r="161" spans="1:4" x14ac:dyDescent="0.35">
      <c r="A161" s="6" t="s">
        <v>146</v>
      </c>
      <c r="B161" s="6" t="s">
        <v>208</v>
      </c>
      <c r="C161" s="6" t="s">
        <v>517</v>
      </c>
      <c r="D161" s="6" t="s">
        <v>373</v>
      </c>
    </row>
    <row r="162" spans="1:4" x14ac:dyDescent="0.35">
      <c r="A162" s="6" t="s">
        <v>146</v>
      </c>
      <c r="B162" s="6" t="s">
        <v>208</v>
      </c>
      <c r="C162" s="6" t="s">
        <v>433</v>
      </c>
      <c r="D162" s="6" t="s">
        <v>375</v>
      </c>
    </row>
    <row r="163" spans="1:4" x14ac:dyDescent="0.35">
      <c r="A163" s="6" t="s">
        <v>146</v>
      </c>
      <c r="B163" s="6" t="s">
        <v>208</v>
      </c>
      <c r="C163" s="6" t="s">
        <v>518</v>
      </c>
      <c r="D163" s="6"/>
    </row>
    <row r="164" spans="1:4" x14ac:dyDescent="0.35">
      <c r="A164" s="6" t="s">
        <v>146</v>
      </c>
      <c r="B164" s="6" t="s">
        <v>208</v>
      </c>
      <c r="C164" s="6" t="s">
        <v>519</v>
      </c>
      <c r="D164" s="6" t="s">
        <v>520</v>
      </c>
    </row>
    <row r="165" spans="1:4" x14ac:dyDescent="0.35">
      <c r="A165" s="6" t="s">
        <v>146</v>
      </c>
      <c r="B165" s="6" t="s">
        <v>212</v>
      </c>
      <c r="C165" s="6" t="s">
        <v>521</v>
      </c>
      <c r="D165" s="6" t="s">
        <v>379</v>
      </c>
    </row>
    <row r="166" spans="1:4" x14ac:dyDescent="0.35">
      <c r="A166" s="6" t="s">
        <v>146</v>
      </c>
      <c r="B166" s="6" t="s">
        <v>143</v>
      </c>
      <c r="C166" s="6" t="s">
        <v>521</v>
      </c>
      <c r="D166" s="6" t="s">
        <v>217</v>
      </c>
    </row>
    <row r="167" spans="1:4" x14ac:dyDescent="0.35">
      <c r="A167" s="6" t="s">
        <v>146</v>
      </c>
      <c r="B167" s="6" t="s">
        <v>143</v>
      </c>
      <c r="C167" s="6" t="s">
        <v>439</v>
      </c>
      <c r="D167" s="6" t="s">
        <v>213</v>
      </c>
    </row>
    <row r="168" spans="1:4" x14ac:dyDescent="0.35">
      <c r="A168" s="6" t="s">
        <v>146</v>
      </c>
      <c r="B168" s="6" t="s">
        <v>216</v>
      </c>
      <c r="C168" s="6" t="s">
        <v>522</v>
      </c>
      <c r="D168" s="6" t="s">
        <v>390</v>
      </c>
    </row>
    <row r="169" spans="1:4" x14ac:dyDescent="0.35">
      <c r="A169" s="6" t="s">
        <v>146</v>
      </c>
      <c r="B169" s="6" t="s">
        <v>216</v>
      </c>
      <c r="C169" s="6" t="s">
        <v>469</v>
      </c>
      <c r="D169" s="6" t="s">
        <v>523</v>
      </c>
    </row>
    <row r="170" spans="1:4" x14ac:dyDescent="0.35">
      <c r="A170" s="6" t="s">
        <v>146</v>
      </c>
      <c r="B170" s="6" t="s">
        <v>220</v>
      </c>
      <c r="C170" s="6" t="s">
        <v>524</v>
      </c>
      <c r="D170" s="6" t="s">
        <v>396</v>
      </c>
    </row>
    <row r="171" spans="1:4" x14ac:dyDescent="0.35">
      <c r="A171" s="6" t="s">
        <v>146</v>
      </c>
      <c r="B171" s="6" t="s">
        <v>220</v>
      </c>
      <c r="C171" s="6" t="s">
        <v>525</v>
      </c>
      <c r="D171" s="6" t="s">
        <v>398</v>
      </c>
    </row>
    <row r="172" spans="1:4" x14ac:dyDescent="0.35">
      <c r="A172" s="6" t="s">
        <v>146</v>
      </c>
      <c r="B172" s="6" t="s">
        <v>220</v>
      </c>
      <c r="C172" s="6" t="s">
        <v>526</v>
      </c>
      <c r="D172" s="6" t="s">
        <v>400</v>
      </c>
    </row>
    <row r="173" spans="1:4" x14ac:dyDescent="0.35">
      <c r="A173" s="53" t="s">
        <v>610</v>
      </c>
      <c r="B173" s="6" t="s">
        <v>135</v>
      </c>
      <c r="C173" s="6" t="s">
        <v>616</v>
      </c>
      <c r="D173" s="6" t="s">
        <v>617</v>
      </c>
    </row>
    <row r="174" spans="1:4" x14ac:dyDescent="0.35">
      <c r="A174" s="53" t="s">
        <v>610</v>
      </c>
      <c r="B174" s="6"/>
      <c r="C174" s="6" t="s">
        <v>620</v>
      </c>
      <c r="D174" s="6" t="s">
        <v>621</v>
      </c>
    </row>
    <row r="175" spans="1:4" x14ac:dyDescent="0.35">
      <c r="A175" s="53" t="s">
        <v>610</v>
      </c>
      <c r="B175" s="6"/>
      <c r="C175" s="6" t="s">
        <v>624</v>
      </c>
      <c r="D175" s="6" t="s">
        <v>625</v>
      </c>
    </row>
    <row r="176" spans="1:4" x14ac:dyDescent="0.35">
      <c r="A176" s="53" t="s">
        <v>610</v>
      </c>
      <c r="B176" s="6"/>
      <c r="C176" s="6" t="s">
        <v>630</v>
      </c>
      <c r="D176" s="6" t="s">
        <v>631</v>
      </c>
    </row>
    <row r="177" spans="1:4" ht="29" x14ac:dyDescent="0.35">
      <c r="A177" s="53" t="s">
        <v>610</v>
      </c>
      <c r="B177" s="6"/>
      <c r="C177" s="6" t="s">
        <v>635</v>
      </c>
      <c r="D177" s="6" t="s">
        <v>636</v>
      </c>
    </row>
    <row r="178" spans="1:4" x14ac:dyDescent="0.35">
      <c r="A178" s="53" t="s">
        <v>610</v>
      </c>
      <c r="B178" s="6"/>
      <c r="C178" s="6"/>
      <c r="D178" s="6" t="s">
        <v>640</v>
      </c>
    </row>
    <row r="179" spans="1:4" x14ac:dyDescent="0.35">
      <c r="A179" s="53" t="s">
        <v>610</v>
      </c>
      <c r="B179" s="6" t="s">
        <v>160</v>
      </c>
      <c r="C179" s="6" t="s">
        <v>645</v>
      </c>
      <c r="D179" s="6" t="s">
        <v>646</v>
      </c>
    </row>
    <row r="180" spans="1:4" x14ac:dyDescent="0.35">
      <c r="A180" s="53" t="s">
        <v>610</v>
      </c>
      <c r="B180" s="6"/>
      <c r="C180" s="6" t="s">
        <v>649</v>
      </c>
      <c r="D180" s="6" t="s">
        <v>650</v>
      </c>
    </row>
    <row r="181" spans="1:4" x14ac:dyDescent="0.35">
      <c r="A181" s="53" t="s">
        <v>610</v>
      </c>
      <c r="B181" s="6"/>
      <c r="C181" s="6" t="s">
        <v>653</v>
      </c>
      <c r="D181" s="6" t="s">
        <v>654</v>
      </c>
    </row>
    <row r="182" spans="1:4" x14ac:dyDescent="0.35">
      <c r="A182" s="53" t="s">
        <v>610</v>
      </c>
      <c r="B182" s="6"/>
      <c r="C182" s="6" t="s">
        <v>657</v>
      </c>
      <c r="D182" s="6" t="s">
        <v>658</v>
      </c>
    </row>
    <row r="183" spans="1:4" ht="29" x14ac:dyDescent="0.35">
      <c r="A183" s="53" t="s">
        <v>610</v>
      </c>
      <c r="B183" s="6"/>
      <c r="C183" s="6" t="s">
        <v>661</v>
      </c>
      <c r="D183" s="6" t="s">
        <v>662</v>
      </c>
    </row>
    <row r="184" spans="1:4" x14ac:dyDescent="0.35">
      <c r="A184" s="53" t="s">
        <v>610</v>
      </c>
      <c r="B184" s="6" t="s">
        <v>169</v>
      </c>
      <c r="C184" s="6" t="s">
        <v>665</v>
      </c>
      <c r="D184" s="6" t="s">
        <v>666</v>
      </c>
    </row>
    <row r="185" spans="1:4" x14ac:dyDescent="0.35">
      <c r="A185" s="53" t="s">
        <v>610</v>
      </c>
      <c r="B185" s="6"/>
      <c r="C185" s="6" t="s">
        <v>669</v>
      </c>
      <c r="D185" s="6" t="s">
        <v>670</v>
      </c>
    </row>
    <row r="186" spans="1:4" x14ac:dyDescent="0.35">
      <c r="A186" s="53" t="s">
        <v>610</v>
      </c>
      <c r="B186" s="6"/>
      <c r="C186" s="6" t="s">
        <v>673</v>
      </c>
      <c r="D186" s="6" t="s">
        <v>674</v>
      </c>
    </row>
    <row r="187" spans="1:4" x14ac:dyDescent="0.35">
      <c r="A187" s="53" t="s">
        <v>610</v>
      </c>
      <c r="B187" s="6"/>
      <c r="C187" s="6" t="s">
        <v>676</v>
      </c>
      <c r="D187" s="6" t="s">
        <v>677</v>
      </c>
    </row>
    <row r="188" spans="1:4" x14ac:dyDescent="0.35">
      <c r="A188" s="53" t="s">
        <v>610</v>
      </c>
      <c r="B188" s="6"/>
      <c r="C188" s="6"/>
      <c r="D188" s="6" t="s">
        <v>679</v>
      </c>
    </row>
    <row r="189" spans="1:4" x14ac:dyDescent="0.35">
      <c r="A189" s="53" t="s">
        <v>610</v>
      </c>
      <c r="B189" s="6" t="s">
        <v>150</v>
      </c>
      <c r="C189" s="6" t="s">
        <v>684</v>
      </c>
      <c r="D189" s="6" t="s">
        <v>685</v>
      </c>
    </row>
    <row r="190" spans="1:4" x14ac:dyDescent="0.35">
      <c r="A190" s="53" t="s">
        <v>610</v>
      </c>
      <c r="B190" s="6"/>
      <c r="C190" s="6" t="s">
        <v>689</v>
      </c>
      <c r="D190" s="6" t="s">
        <v>690</v>
      </c>
    </row>
    <row r="191" spans="1:4" x14ac:dyDescent="0.35">
      <c r="A191" s="53" t="s">
        <v>610</v>
      </c>
      <c r="B191" s="6"/>
      <c r="C191" s="6" t="s">
        <v>695</v>
      </c>
      <c r="D191" s="6" t="s">
        <v>696</v>
      </c>
    </row>
    <row r="192" spans="1:4" x14ac:dyDescent="0.35">
      <c r="A192" s="53" t="s">
        <v>610</v>
      </c>
      <c r="B192" s="6"/>
      <c r="C192" s="6" t="s">
        <v>511</v>
      </c>
      <c r="D192" s="6" t="s">
        <v>699</v>
      </c>
    </row>
    <row r="193" spans="1:4" x14ac:dyDescent="0.35">
      <c r="A193" s="53" t="s">
        <v>610</v>
      </c>
      <c r="B193" s="6"/>
      <c r="C193" s="6"/>
      <c r="D193" s="6" t="s">
        <v>705</v>
      </c>
    </row>
    <row r="194" spans="1:4" x14ac:dyDescent="0.35">
      <c r="A194" s="53" t="s">
        <v>610</v>
      </c>
      <c r="B194" s="6" t="s">
        <v>708</v>
      </c>
      <c r="C194" s="6" t="s">
        <v>709</v>
      </c>
      <c r="D194" s="6" t="s">
        <v>710</v>
      </c>
    </row>
    <row r="195" spans="1:4" x14ac:dyDescent="0.35">
      <c r="A195" s="53" t="s">
        <v>610</v>
      </c>
      <c r="B195" s="6"/>
      <c r="C195" s="6" t="s">
        <v>712</v>
      </c>
      <c r="D195" s="6" t="s">
        <v>713</v>
      </c>
    </row>
    <row r="196" spans="1:4" x14ac:dyDescent="0.35">
      <c r="A196" s="53" t="s">
        <v>610</v>
      </c>
      <c r="B196" s="6"/>
      <c r="C196" s="6" t="s">
        <v>455</v>
      </c>
      <c r="D196" s="6" t="s">
        <v>716</v>
      </c>
    </row>
    <row r="197" spans="1:4" x14ac:dyDescent="0.35">
      <c r="A197" s="53" t="s">
        <v>610</v>
      </c>
      <c r="B197" s="6"/>
      <c r="C197" s="6" t="s">
        <v>717</v>
      </c>
      <c r="D197" s="6" t="s">
        <v>718</v>
      </c>
    </row>
    <row r="198" spans="1:4" x14ac:dyDescent="0.35">
      <c r="A198" s="53" t="s">
        <v>610</v>
      </c>
      <c r="B198" s="6"/>
      <c r="C198" s="6"/>
      <c r="D198" s="6" t="s">
        <v>719</v>
      </c>
    </row>
    <row r="199" spans="1:4" x14ac:dyDescent="0.35">
      <c r="A199" s="53" t="s">
        <v>610</v>
      </c>
      <c r="B199" s="6" t="s">
        <v>628</v>
      </c>
      <c r="C199" s="6" t="s">
        <v>720</v>
      </c>
      <c r="D199" s="6" t="s">
        <v>721</v>
      </c>
    </row>
    <row r="200" spans="1:4" x14ac:dyDescent="0.35">
      <c r="A200" s="53" t="s">
        <v>610</v>
      </c>
      <c r="B200" s="6"/>
      <c r="C200" s="6" t="s">
        <v>722</v>
      </c>
      <c r="D200" s="6" t="s">
        <v>723</v>
      </c>
    </row>
    <row r="201" spans="1:4" x14ac:dyDescent="0.35">
      <c r="A201" s="53" t="s">
        <v>610</v>
      </c>
      <c r="B201" s="6"/>
      <c r="C201" s="6" t="s">
        <v>724</v>
      </c>
      <c r="D201" s="6" t="s">
        <v>725</v>
      </c>
    </row>
    <row r="202" spans="1:4" x14ac:dyDescent="0.35">
      <c r="A202" s="53" t="s">
        <v>610</v>
      </c>
      <c r="B202" s="6"/>
      <c r="C202" s="6" t="s">
        <v>726</v>
      </c>
      <c r="D202" s="6" t="s">
        <v>727</v>
      </c>
    </row>
    <row r="203" spans="1:4" x14ac:dyDescent="0.35">
      <c r="A203" s="53" t="s">
        <v>610</v>
      </c>
      <c r="B203" s="6" t="s">
        <v>182</v>
      </c>
      <c r="C203" s="6" t="s">
        <v>459</v>
      </c>
      <c r="D203" s="6" t="s">
        <v>463</v>
      </c>
    </row>
    <row r="204" spans="1:4" x14ac:dyDescent="0.35">
      <c r="A204" s="53" t="s">
        <v>610</v>
      </c>
      <c r="B204" s="6"/>
      <c r="C204" s="6" t="s">
        <v>728</v>
      </c>
      <c r="D204" s="6" t="s">
        <v>729</v>
      </c>
    </row>
    <row r="205" spans="1:4" x14ac:dyDescent="0.35">
      <c r="A205" s="53" t="s">
        <v>610</v>
      </c>
      <c r="B205" s="6"/>
      <c r="C205" s="6" t="s">
        <v>730</v>
      </c>
      <c r="D205" s="6" t="s">
        <v>731</v>
      </c>
    </row>
    <row r="206" spans="1:4" x14ac:dyDescent="0.35">
      <c r="A206" s="53" t="s">
        <v>610</v>
      </c>
      <c r="B206" s="6"/>
      <c r="C206" s="6" t="s">
        <v>500</v>
      </c>
      <c r="D206" s="6" t="s">
        <v>732</v>
      </c>
    </row>
    <row r="207" spans="1:4" ht="29" x14ac:dyDescent="0.35">
      <c r="A207" s="53" t="s">
        <v>610</v>
      </c>
      <c r="B207" s="6" t="s">
        <v>687</v>
      </c>
      <c r="C207" s="6" t="s">
        <v>733</v>
      </c>
      <c r="D207" s="6" t="s">
        <v>734</v>
      </c>
    </row>
    <row r="208" spans="1:4" x14ac:dyDescent="0.35">
      <c r="A208" s="53" t="s">
        <v>610</v>
      </c>
      <c r="B208" s="6"/>
      <c r="C208" s="6" t="s">
        <v>735</v>
      </c>
      <c r="D208" s="6" t="s">
        <v>736</v>
      </c>
    </row>
    <row r="209" spans="1:4" x14ac:dyDescent="0.35">
      <c r="A209" s="53" t="s">
        <v>610</v>
      </c>
      <c r="B209" s="6"/>
      <c r="C209" s="6" t="s">
        <v>737</v>
      </c>
      <c r="D209" s="6" t="s">
        <v>738</v>
      </c>
    </row>
    <row r="210" spans="1:4" x14ac:dyDescent="0.35">
      <c r="A210" s="53" t="s">
        <v>610</v>
      </c>
      <c r="B210" s="6"/>
      <c r="C210" s="6"/>
      <c r="D210" s="6" t="s">
        <v>739</v>
      </c>
    </row>
    <row r="211" spans="1:4" x14ac:dyDescent="0.35">
      <c r="A211" s="53" t="s">
        <v>610</v>
      </c>
      <c r="B211" s="6" t="s">
        <v>703</v>
      </c>
      <c r="C211" s="6" t="s">
        <v>740</v>
      </c>
      <c r="D211" s="6" t="s">
        <v>741</v>
      </c>
    </row>
    <row r="212" spans="1:4" x14ac:dyDescent="0.35">
      <c r="A212" s="53" t="s">
        <v>610</v>
      </c>
      <c r="B212" s="6"/>
      <c r="C212" s="6" t="s">
        <v>742</v>
      </c>
      <c r="D212" s="6" t="s">
        <v>743</v>
      </c>
    </row>
    <row r="213" spans="1:4" x14ac:dyDescent="0.35">
      <c r="A213" s="53" t="s">
        <v>610</v>
      </c>
      <c r="B213" s="6"/>
      <c r="C213" s="6" t="s">
        <v>744</v>
      </c>
      <c r="D213" s="6" t="s">
        <v>745</v>
      </c>
    </row>
    <row r="214" spans="1:4" x14ac:dyDescent="0.35">
      <c r="A214" s="53" t="s">
        <v>610</v>
      </c>
      <c r="B214" s="6"/>
      <c r="C214" s="6"/>
      <c r="D214" s="6" t="s">
        <v>746</v>
      </c>
    </row>
    <row r="215" spans="1:4" x14ac:dyDescent="0.35">
      <c r="A215" s="53" t="s">
        <v>610</v>
      </c>
      <c r="B215" s="6" t="s">
        <v>747</v>
      </c>
      <c r="C215" s="6" t="s">
        <v>748</v>
      </c>
      <c r="D215" s="6" t="s">
        <v>749</v>
      </c>
    </row>
    <row r="216" spans="1:4" x14ac:dyDescent="0.35">
      <c r="A216" s="53" t="s">
        <v>610</v>
      </c>
      <c r="B216" s="6"/>
      <c r="C216" s="6" t="s">
        <v>750</v>
      </c>
      <c r="D216" s="6" t="s">
        <v>751</v>
      </c>
    </row>
    <row r="217" spans="1:4" x14ac:dyDescent="0.35">
      <c r="A217" s="53" t="s">
        <v>610</v>
      </c>
      <c r="B217" s="6"/>
      <c r="C217" s="6" t="s">
        <v>752</v>
      </c>
      <c r="D217" s="6" t="s">
        <v>753</v>
      </c>
    </row>
    <row r="218" spans="1:4" x14ac:dyDescent="0.35">
      <c r="A218" s="54" t="s">
        <v>610</v>
      </c>
      <c r="B218" s="55"/>
      <c r="C218" s="55"/>
      <c r="D218" s="55" t="s">
        <v>754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2BFAE-9616-44F9-90E4-72ADA446EBCB}">
  <dimension ref="A1:BZ27"/>
  <sheetViews>
    <sheetView workbookViewId="0"/>
  </sheetViews>
  <sheetFormatPr defaultRowHeight="14.5" x14ac:dyDescent="0.35"/>
  <sheetData>
    <row r="1" spans="1:78" x14ac:dyDescent="0.35">
      <c r="A1" s="11" t="s">
        <v>527</v>
      </c>
      <c r="B1" s="11" t="s">
        <v>528</v>
      </c>
      <c r="C1" s="11" t="s">
        <v>529</v>
      </c>
      <c r="D1" s="11" t="s">
        <v>530</v>
      </c>
      <c r="E1" s="11" t="s">
        <v>531</v>
      </c>
      <c r="F1" s="11" t="s">
        <v>532</v>
      </c>
      <c r="G1" s="11" t="s">
        <v>533</v>
      </c>
      <c r="H1" s="11" t="s">
        <v>534</v>
      </c>
      <c r="I1" s="11" t="s">
        <v>535</v>
      </c>
      <c r="J1" s="11" t="s">
        <v>536</v>
      </c>
      <c r="K1" s="11" t="s">
        <v>537</v>
      </c>
      <c r="L1" s="11" t="s">
        <v>538</v>
      </c>
      <c r="M1" s="11" t="s">
        <v>539</v>
      </c>
      <c r="N1" s="11" t="s">
        <v>540</v>
      </c>
      <c r="O1" s="11" t="s">
        <v>541</v>
      </c>
      <c r="P1" s="11" t="s">
        <v>542</v>
      </c>
      <c r="Q1" s="11" t="s">
        <v>543</v>
      </c>
      <c r="R1" s="11" t="s">
        <v>544</v>
      </c>
      <c r="S1" s="11" t="s">
        <v>545</v>
      </c>
      <c r="T1" s="11" t="s">
        <v>546</v>
      </c>
      <c r="U1" s="11" t="s">
        <v>547</v>
      </c>
      <c r="V1" s="11" t="s">
        <v>548</v>
      </c>
      <c r="W1" s="11" t="s">
        <v>549</v>
      </c>
      <c r="X1" s="11" t="s">
        <v>550</v>
      </c>
      <c r="Y1" s="11" t="s">
        <v>551</v>
      </c>
      <c r="Z1" s="11" t="s">
        <v>552</v>
      </c>
      <c r="AA1" s="11" t="s">
        <v>553</v>
      </c>
      <c r="AB1" s="11" t="s">
        <v>554</v>
      </c>
      <c r="AC1" s="11" t="s">
        <v>555</v>
      </c>
      <c r="AD1" s="11" t="s">
        <v>556</v>
      </c>
      <c r="AE1" s="11" t="s">
        <v>557</v>
      </c>
      <c r="AF1" s="11" t="s">
        <v>558</v>
      </c>
      <c r="AG1" s="11" t="s">
        <v>559</v>
      </c>
      <c r="AH1" s="11" t="s">
        <v>560</v>
      </c>
      <c r="AI1" s="11" t="s">
        <v>561</v>
      </c>
      <c r="AK1" s="11" t="s">
        <v>562</v>
      </c>
      <c r="AL1" s="11" t="s">
        <v>563</v>
      </c>
      <c r="AM1" s="11" t="s">
        <v>564</v>
      </c>
      <c r="AN1" s="11" t="s">
        <v>565</v>
      </c>
      <c r="AO1" s="11" t="s">
        <v>566</v>
      </c>
      <c r="AP1" s="11" t="s">
        <v>567</v>
      </c>
      <c r="AQ1" s="11" t="s">
        <v>568</v>
      </c>
      <c r="AR1" s="11" t="s">
        <v>569</v>
      </c>
      <c r="AS1" s="11" t="s">
        <v>570</v>
      </c>
      <c r="AT1" s="11" t="s">
        <v>571</v>
      </c>
      <c r="AU1" s="11" t="s">
        <v>572</v>
      </c>
      <c r="AV1" s="11" t="s">
        <v>573</v>
      </c>
      <c r="AW1" s="11" t="s">
        <v>574</v>
      </c>
      <c r="AX1" s="11" t="s">
        <v>575</v>
      </c>
      <c r="AY1" s="11" t="s">
        <v>576</v>
      </c>
      <c r="BA1" s="11" t="s">
        <v>577</v>
      </c>
      <c r="BB1" s="11" t="s">
        <v>578</v>
      </c>
      <c r="BC1" s="11" t="s">
        <v>579</v>
      </c>
      <c r="BD1" s="11" t="s">
        <v>580</v>
      </c>
      <c r="BE1" s="11" t="s">
        <v>581</v>
      </c>
      <c r="BF1" s="11" t="s">
        <v>582</v>
      </c>
      <c r="BG1" s="11" t="s">
        <v>583</v>
      </c>
      <c r="BH1" s="11" t="s">
        <v>584</v>
      </c>
      <c r="BI1" s="11" t="s">
        <v>585</v>
      </c>
      <c r="BJ1" s="11" t="s">
        <v>586</v>
      </c>
      <c r="BK1" s="11" t="s">
        <v>587</v>
      </c>
      <c r="BL1" s="11" t="s">
        <v>588</v>
      </c>
      <c r="BM1" s="11" t="s">
        <v>589</v>
      </c>
      <c r="BN1" s="11" t="s">
        <v>590</v>
      </c>
      <c r="BO1" s="11" t="s">
        <v>591</v>
      </c>
      <c r="BP1" s="11" t="s">
        <v>592</v>
      </c>
      <c r="BQ1" s="11" t="s">
        <v>593</v>
      </c>
      <c r="BR1" s="11" t="s">
        <v>594</v>
      </c>
      <c r="BS1" s="11" t="s">
        <v>595</v>
      </c>
      <c r="BT1" s="11" t="s">
        <v>596</v>
      </c>
      <c r="BU1" s="11" t="s">
        <v>597</v>
      </c>
      <c r="BV1" s="11" t="s">
        <v>598</v>
      </c>
      <c r="BW1" s="11" t="s">
        <v>599</v>
      </c>
      <c r="BX1" s="11" t="s">
        <v>600</v>
      </c>
      <c r="BY1" s="11" t="s">
        <v>601</v>
      </c>
      <c r="BZ1" s="11" t="s">
        <v>602</v>
      </c>
    </row>
    <row r="2" spans="1:78" x14ac:dyDescent="0.35">
      <c r="A2" t="s">
        <v>135</v>
      </c>
      <c r="B2" t="s">
        <v>132</v>
      </c>
      <c r="C2" t="s">
        <v>73</v>
      </c>
      <c r="D2" t="s">
        <v>64</v>
      </c>
      <c r="E2" t="s">
        <v>90</v>
      </c>
      <c r="F2" t="s">
        <v>256</v>
      </c>
      <c r="G2" t="s">
        <v>403</v>
      </c>
      <c r="H2" t="s">
        <v>265</v>
      </c>
      <c r="I2" t="s">
        <v>435</v>
      </c>
      <c r="J2" t="s">
        <v>285</v>
      </c>
      <c r="K2" t="s">
        <v>441</v>
      </c>
      <c r="L2" t="s">
        <v>273</v>
      </c>
      <c r="M2" t="s">
        <v>409</v>
      </c>
      <c r="N2" t="s">
        <v>258</v>
      </c>
      <c r="O2" t="s">
        <v>415</v>
      </c>
      <c r="P2" t="s">
        <v>82</v>
      </c>
      <c r="Q2" s="39" t="s">
        <v>603</v>
      </c>
      <c r="R2" t="s">
        <v>263</v>
      </c>
      <c r="S2" t="s">
        <v>421</v>
      </c>
      <c r="T2" t="s">
        <v>267</v>
      </c>
      <c r="U2" t="s">
        <v>429</v>
      </c>
      <c r="V2" t="s">
        <v>68</v>
      </c>
      <c r="W2" t="s">
        <v>447</v>
      </c>
      <c r="X2" t="s">
        <v>297</v>
      </c>
      <c r="Y2" t="s">
        <v>297</v>
      </c>
      <c r="Z2" t="s">
        <v>300</v>
      </c>
      <c r="AA2" t="s">
        <v>455</v>
      </c>
      <c r="AB2" t="s">
        <v>373</v>
      </c>
      <c r="AC2" t="s">
        <v>517</v>
      </c>
      <c r="AD2" t="s">
        <v>379</v>
      </c>
      <c r="AE2" t="s">
        <v>435</v>
      </c>
      <c r="AF2" t="s">
        <v>390</v>
      </c>
      <c r="AG2" t="s">
        <v>522</v>
      </c>
      <c r="AH2" t="s">
        <v>396</v>
      </c>
      <c r="AI2" t="s">
        <v>524</v>
      </c>
      <c r="AK2" t="s">
        <v>255</v>
      </c>
      <c r="AL2" t="s">
        <v>264</v>
      </c>
      <c r="AM2" t="s">
        <v>284</v>
      </c>
      <c r="AN2" t="s">
        <v>272</v>
      </c>
      <c r="AO2" t="s">
        <v>257</v>
      </c>
      <c r="AP2" t="s">
        <v>254</v>
      </c>
      <c r="AQ2" t="s">
        <v>262</v>
      </c>
      <c r="AR2" t="s">
        <v>266</v>
      </c>
      <c r="AS2" t="s">
        <v>277</v>
      </c>
      <c r="AT2" t="s">
        <v>352</v>
      </c>
      <c r="AU2" t="s">
        <v>355</v>
      </c>
      <c r="AV2" t="s">
        <v>372</v>
      </c>
      <c r="AW2" t="s">
        <v>357</v>
      </c>
      <c r="AX2" t="s">
        <v>389</v>
      </c>
      <c r="AY2" t="s">
        <v>395</v>
      </c>
      <c r="BA2" t="s">
        <v>133</v>
      </c>
      <c r="BE2" t="s">
        <v>176</v>
      </c>
      <c r="BF2" t="s">
        <v>148</v>
      </c>
      <c r="BH2" t="s">
        <v>187</v>
      </c>
      <c r="BJ2" t="s">
        <v>158</v>
      </c>
      <c r="BK2" t="s">
        <v>181</v>
      </c>
      <c r="BM2" t="s">
        <v>176</v>
      </c>
      <c r="BN2" t="s">
        <v>176</v>
      </c>
      <c r="BO2" t="s">
        <v>168</v>
      </c>
      <c r="BP2" t="s">
        <v>187</v>
      </c>
      <c r="BQ2" t="s">
        <v>66</v>
      </c>
      <c r="BR2" t="s">
        <v>324</v>
      </c>
      <c r="BS2" t="s">
        <v>316</v>
      </c>
      <c r="BT2" t="s">
        <v>193</v>
      </c>
      <c r="BU2" t="s">
        <v>168</v>
      </c>
    </row>
    <row r="3" spans="1:78" x14ac:dyDescent="0.35">
      <c r="A3" t="s">
        <v>143</v>
      </c>
      <c r="B3" t="s">
        <v>141</v>
      </c>
      <c r="C3" t="s">
        <v>85</v>
      </c>
      <c r="D3" t="s">
        <v>70</v>
      </c>
      <c r="E3" t="s">
        <v>78</v>
      </c>
      <c r="F3" t="s">
        <v>269</v>
      </c>
      <c r="G3" t="s">
        <v>405</v>
      </c>
      <c r="H3" t="s">
        <v>217</v>
      </c>
      <c r="I3" t="s">
        <v>437</v>
      </c>
      <c r="J3" t="s">
        <v>288</v>
      </c>
      <c r="K3" t="s">
        <v>443</v>
      </c>
      <c r="L3" t="s">
        <v>334</v>
      </c>
      <c r="M3" t="s">
        <v>411</v>
      </c>
      <c r="N3" t="s">
        <v>271</v>
      </c>
      <c r="O3" t="s">
        <v>417</v>
      </c>
      <c r="P3" t="s">
        <v>261</v>
      </c>
      <c r="Q3" t="s">
        <v>604</v>
      </c>
      <c r="R3" t="s">
        <v>294</v>
      </c>
      <c r="S3" t="s">
        <v>423</v>
      </c>
      <c r="T3" t="s">
        <v>304</v>
      </c>
      <c r="U3" t="s">
        <v>431</v>
      </c>
      <c r="V3" t="s">
        <v>448</v>
      </c>
      <c r="W3" t="s">
        <v>233</v>
      </c>
      <c r="X3" t="s">
        <v>298</v>
      </c>
      <c r="Y3" t="s">
        <v>453</v>
      </c>
      <c r="Z3" t="s">
        <v>456</v>
      </c>
      <c r="AA3" t="s">
        <v>457</v>
      </c>
      <c r="AB3" t="s">
        <v>375</v>
      </c>
      <c r="AC3" t="s">
        <v>433</v>
      </c>
      <c r="AD3" t="s">
        <v>381</v>
      </c>
      <c r="AF3" t="s">
        <v>392</v>
      </c>
      <c r="AG3" t="s">
        <v>469</v>
      </c>
      <c r="AH3" t="s">
        <v>398</v>
      </c>
      <c r="AI3" t="s">
        <v>525</v>
      </c>
      <c r="AK3" t="s">
        <v>268</v>
      </c>
      <c r="AL3" t="s">
        <v>305</v>
      </c>
      <c r="AM3" t="s">
        <v>287</v>
      </c>
      <c r="AN3" t="s">
        <v>333</v>
      </c>
      <c r="AO3" t="s">
        <v>270</v>
      </c>
      <c r="AP3" t="s">
        <v>260</v>
      </c>
      <c r="AQ3" t="s">
        <v>293</v>
      </c>
      <c r="AR3" t="s">
        <v>303</v>
      </c>
      <c r="AT3" t="s">
        <v>353</v>
      </c>
      <c r="AV3" t="s">
        <v>374</v>
      </c>
      <c r="AW3" t="s">
        <v>380</v>
      </c>
      <c r="AX3" t="s">
        <v>391</v>
      </c>
      <c r="AY3" t="s">
        <v>397</v>
      </c>
    </row>
    <row r="4" spans="1:78" x14ac:dyDescent="0.35">
      <c r="A4" t="s">
        <v>150</v>
      </c>
      <c r="B4" t="s">
        <v>147</v>
      </c>
      <c r="C4" t="s">
        <v>152</v>
      </c>
      <c r="E4" t="s">
        <v>605</v>
      </c>
      <c r="F4" t="s">
        <v>279</v>
      </c>
      <c r="G4" t="s">
        <v>407</v>
      </c>
      <c r="H4" t="s">
        <v>386</v>
      </c>
      <c r="I4" t="s">
        <v>439</v>
      </c>
      <c r="J4" t="s">
        <v>312</v>
      </c>
      <c r="K4" t="s">
        <v>445</v>
      </c>
      <c r="L4" t="s">
        <v>349</v>
      </c>
      <c r="M4" t="s">
        <v>413</v>
      </c>
      <c r="N4" t="s">
        <v>275</v>
      </c>
      <c r="O4" t="s">
        <v>419</v>
      </c>
      <c r="Q4" t="s">
        <v>606</v>
      </c>
      <c r="R4" t="s">
        <v>296</v>
      </c>
      <c r="S4" t="s">
        <v>425</v>
      </c>
      <c r="T4" t="s">
        <v>307</v>
      </c>
      <c r="U4" t="s">
        <v>433</v>
      </c>
      <c r="V4" t="s">
        <v>449</v>
      </c>
      <c r="W4" t="s">
        <v>450</v>
      </c>
      <c r="X4" t="s">
        <v>452</v>
      </c>
      <c r="Y4" t="s">
        <v>508</v>
      </c>
      <c r="Z4" t="s">
        <v>458</v>
      </c>
      <c r="AA4" t="s">
        <v>511</v>
      </c>
      <c r="AB4" t="s">
        <v>377</v>
      </c>
      <c r="AC4" t="s">
        <v>518</v>
      </c>
      <c r="AF4" t="s">
        <v>523</v>
      </c>
      <c r="AH4" t="s">
        <v>400</v>
      </c>
      <c r="AI4" t="s">
        <v>526</v>
      </c>
      <c r="AK4" t="s">
        <v>278</v>
      </c>
      <c r="AL4" t="s">
        <v>384</v>
      </c>
      <c r="AM4" t="s">
        <v>311</v>
      </c>
      <c r="AN4" t="s">
        <v>348</v>
      </c>
      <c r="AO4" t="s">
        <v>274</v>
      </c>
      <c r="AQ4" t="s">
        <v>295</v>
      </c>
      <c r="AR4" t="s">
        <v>306</v>
      </c>
      <c r="AV4" t="s">
        <v>376</v>
      </c>
      <c r="AY4" t="s">
        <v>399</v>
      </c>
    </row>
    <row r="5" spans="1:78" x14ac:dyDescent="0.35">
      <c r="A5" t="s">
        <v>160</v>
      </c>
      <c r="B5" t="s">
        <v>157</v>
      </c>
      <c r="C5" t="s">
        <v>162</v>
      </c>
      <c r="F5" t="s">
        <v>291</v>
      </c>
      <c r="G5" t="s">
        <v>459</v>
      </c>
      <c r="H5" t="s">
        <v>436</v>
      </c>
      <c r="I5" t="s">
        <v>494</v>
      </c>
      <c r="J5" t="s">
        <v>318</v>
      </c>
      <c r="K5" t="s">
        <v>312</v>
      </c>
      <c r="L5" t="s">
        <v>410</v>
      </c>
      <c r="M5" t="s">
        <v>465</v>
      </c>
      <c r="N5" t="s">
        <v>282</v>
      </c>
      <c r="O5" t="s">
        <v>471</v>
      </c>
      <c r="Q5" t="s">
        <v>425</v>
      </c>
      <c r="R5" t="s">
        <v>299</v>
      </c>
      <c r="S5" t="s">
        <v>427</v>
      </c>
      <c r="T5" t="s">
        <v>310</v>
      </c>
      <c r="U5" t="s">
        <v>484</v>
      </c>
      <c r="V5" t="s">
        <v>451</v>
      </c>
      <c r="W5" t="s">
        <v>502</v>
      </c>
      <c r="X5" t="s">
        <v>454</v>
      </c>
      <c r="Z5" t="s">
        <v>510</v>
      </c>
      <c r="AB5" t="s">
        <v>520</v>
      </c>
      <c r="AC5" t="s">
        <v>519</v>
      </c>
      <c r="AK5" t="s">
        <v>290</v>
      </c>
      <c r="AL5" t="s">
        <v>385</v>
      </c>
      <c r="AM5" t="s">
        <v>317</v>
      </c>
      <c r="AO5" t="s">
        <v>281</v>
      </c>
      <c r="AQ5" t="s">
        <v>350</v>
      </c>
      <c r="AR5" t="s">
        <v>309</v>
      </c>
    </row>
    <row r="6" spans="1:78" x14ac:dyDescent="0.35">
      <c r="A6" t="s">
        <v>169</v>
      </c>
      <c r="B6" t="s">
        <v>167</v>
      </c>
      <c r="C6" t="s">
        <v>171</v>
      </c>
      <c r="F6" t="s">
        <v>322</v>
      </c>
      <c r="G6" t="s">
        <v>461</v>
      </c>
      <c r="H6" t="s">
        <v>438</v>
      </c>
      <c r="J6" t="s">
        <v>338</v>
      </c>
      <c r="K6" t="s">
        <v>480</v>
      </c>
      <c r="L6" t="s">
        <v>412</v>
      </c>
      <c r="M6" t="s">
        <v>467</v>
      </c>
      <c r="N6" t="s">
        <v>314</v>
      </c>
      <c r="O6" t="s">
        <v>473</v>
      </c>
      <c r="Q6" t="s">
        <v>409</v>
      </c>
      <c r="R6" t="s">
        <v>351</v>
      </c>
      <c r="S6" t="s">
        <v>496</v>
      </c>
      <c r="T6" t="s">
        <v>340</v>
      </c>
      <c r="U6" t="s">
        <v>486</v>
      </c>
      <c r="V6" t="s">
        <v>503</v>
      </c>
      <c r="W6" t="s">
        <v>505</v>
      </c>
      <c r="X6" t="s">
        <v>507</v>
      </c>
      <c r="Z6" t="s">
        <v>512</v>
      </c>
      <c r="AK6" t="s">
        <v>321</v>
      </c>
      <c r="AM6" t="s">
        <v>337</v>
      </c>
      <c r="AO6" t="s">
        <v>313</v>
      </c>
      <c r="AQ6" t="s">
        <v>354</v>
      </c>
      <c r="AR6" t="s">
        <v>339</v>
      </c>
    </row>
    <row r="7" spans="1:78" x14ac:dyDescent="0.35">
      <c r="A7" t="s">
        <v>67</v>
      </c>
      <c r="B7" t="s">
        <v>607</v>
      </c>
      <c r="F7" t="s">
        <v>326</v>
      </c>
      <c r="G7" t="s">
        <v>463</v>
      </c>
      <c r="H7" t="s">
        <v>440</v>
      </c>
      <c r="J7" t="s">
        <v>442</v>
      </c>
      <c r="K7" t="s">
        <v>482</v>
      </c>
      <c r="L7" t="s">
        <v>414</v>
      </c>
      <c r="M7" t="s">
        <v>469</v>
      </c>
      <c r="N7" t="s">
        <v>320</v>
      </c>
      <c r="O7" t="s">
        <v>475</v>
      </c>
      <c r="R7" t="s">
        <v>422</v>
      </c>
      <c r="S7" t="s">
        <v>498</v>
      </c>
      <c r="T7" t="s">
        <v>360</v>
      </c>
      <c r="U7" t="s">
        <v>488</v>
      </c>
      <c r="V7" t="s">
        <v>504</v>
      </c>
      <c r="X7" t="s">
        <v>509</v>
      </c>
      <c r="AK7" t="s">
        <v>325</v>
      </c>
      <c r="AO7" t="s">
        <v>319</v>
      </c>
      <c r="AR7" t="s">
        <v>359</v>
      </c>
    </row>
    <row r="8" spans="1:78" x14ac:dyDescent="0.35">
      <c r="A8" t="s">
        <v>182</v>
      </c>
      <c r="B8" t="s">
        <v>180</v>
      </c>
      <c r="F8" t="s">
        <v>343</v>
      </c>
      <c r="H8" t="s">
        <v>492</v>
      </c>
      <c r="J8" t="s">
        <v>444</v>
      </c>
      <c r="L8" t="s">
        <v>466</v>
      </c>
      <c r="N8" t="s">
        <v>328</v>
      </c>
      <c r="O8" t="s">
        <v>477</v>
      </c>
      <c r="R8" t="s">
        <v>424</v>
      </c>
      <c r="S8" t="s">
        <v>500</v>
      </c>
      <c r="T8" t="s">
        <v>363</v>
      </c>
      <c r="U8" t="s">
        <v>490</v>
      </c>
      <c r="V8" t="s">
        <v>506</v>
      </c>
      <c r="AK8" t="s">
        <v>342</v>
      </c>
      <c r="AO8" t="s">
        <v>327</v>
      </c>
      <c r="AR8" t="s">
        <v>362</v>
      </c>
    </row>
    <row r="9" spans="1:78" x14ac:dyDescent="0.35">
      <c r="A9" t="s">
        <v>188</v>
      </c>
      <c r="B9" t="s">
        <v>186</v>
      </c>
      <c r="F9" t="s">
        <v>404</v>
      </c>
      <c r="H9" t="s">
        <v>493</v>
      </c>
      <c r="J9" t="s">
        <v>446</v>
      </c>
      <c r="L9" t="s">
        <v>468</v>
      </c>
      <c r="N9" t="s">
        <v>332</v>
      </c>
      <c r="R9" t="s">
        <v>426</v>
      </c>
      <c r="T9" t="s">
        <v>367</v>
      </c>
      <c r="U9" t="s">
        <v>513</v>
      </c>
      <c r="AO9" t="s">
        <v>331</v>
      </c>
      <c r="AR9" t="s">
        <v>366</v>
      </c>
    </row>
    <row r="10" spans="1:78" x14ac:dyDescent="0.35">
      <c r="A10" t="s">
        <v>194</v>
      </c>
      <c r="B10" t="s">
        <v>192</v>
      </c>
      <c r="F10" t="s">
        <v>406</v>
      </c>
      <c r="H10" t="s">
        <v>495</v>
      </c>
      <c r="J10" t="s">
        <v>479</v>
      </c>
      <c r="L10" t="s">
        <v>470</v>
      </c>
      <c r="N10" t="s">
        <v>347</v>
      </c>
      <c r="R10" t="s">
        <v>428</v>
      </c>
      <c r="T10" t="s">
        <v>369</v>
      </c>
      <c r="U10" t="s">
        <v>515</v>
      </c>
      <c r="AO10" t="s">
        <v>346</v>
      </c>
      <c r="AR10" t="s">
        <v>368</v>
      </c>
    </row>
    <row r="11" spans="1:78" x14ac:dyDescent="0.35">
      <c r="A11" t="s">
        <v>200</v>
      </c>
      <c r="B11" t="s">
        <v>198</v>
      </c>
      <c r="F11" t="s">
        <v>408</v>
      </c>
      <c r="H11" t="s">
        <v>213</v>
      </c>
      <c r="J11" t="s">
        <v>481</v>
      </c>
      <c r="N11" t="s">
        <v>416</v>
      </c>
      <c r="R11" t="s">
        <v>497</v>
      </c>
      <c r="T11" t="s">
        <v>430</v>
      </c>
      <c r="U11" t="s">
        <v>516</v>
      </c>
    </row>
    <row r="12" spans="1:78" x14ac:dyDescent="0.35">
      <c r="A12" t="s">
        <v>204</v>
      </c>
      <c r="B12" t="s">
        <v>203</v>
      </c>
      <c r="F12" t="s">
        <v>460</v>
      </c>
      <c r="J12" t="s">
        <v>483</v>
      </c>
      <c r="N12" t="s">
        <v>418</v>
      </c>
      <c r="R12" t="s">
        <v>499</v>
      </c>
      <c r="T12" t="s">
        <v>432</v>
      </c>
    </row>
    <row r="13" spans="1:78" x14ac:dyDescent="0.35">
      <c r="A13" t="s">
        <v>208</v>
      </c>
      <c r="B13" t="s">
        <v>207</v>
      </c>
      <c r="F13" t="s">
        <v>462</v>
      </c>
      <c r="N13" t="s">
        <v>420</v>
      </c>
      <c r="R13" t="s">
        <v>501</v>
      </c>
      <c r="T13" t="s">
        <v>434</v>
      </c>
    </row>
    <row r="14" spans="1:78" x14ac:dyDescent="0.35">
      <c r="A14" t="s">
        <v>212</v>
      </c>
      <c r="B14" t="s">
        <v>211</v>
      </c>
      <c r="F14" t="s">
        <v>464</v>
      </c>
      <c r="N14" t="s">
        <v>472</v>
      </c>
      <c r="T14" t="s">
        <v>485</v>
      </c>
    </row>
    <row r="15" spans="1:78" x14ac:dyDescent="0.35">
      <c r="A15" t="s">
        <v>216</v>
      </c>
      <c r="B15" t="s">
        <v>215</v>
      </c>
      <c r="N15" t="s">
        <v>474</v>
      </c>
      <c r="T15" t="s">
        <v>487</v>
      </c>
    </row>
    <row r="16" spans="1:78" x14ac:dyDescent="0.35">
      <c r="A16" t="s">
        <v>220</v>
      </c>
      <c r="B16" t="s">
        <v>219</v>
      </c>
      <c r="N16" t="s">
        <v>476</v>
      </c>
      <c r="T16" t="s">
        <v>489</v>
      </c>
    </row>
    <row r="17" spans="2:20" x14ac:dyDescent="0.35">
      <c r="B17" t="s">
        <v>223</v>
      </c>
      <c r="N17" t="s">
        <v>478</v>
      </c>
      <c r="T17" t="s">
        <v>491</v>
      </c>
    </row>
    <row r="18" spans="2:20" x14ac:dyDescent="0.35">
      <c r="B18" t="s">
        <v>226</v>
      </c>
      <c r="T18" t="s">
        <v>514</v>
      </c>
    </row>
    <row r="19" spans="2:20" x14ac:dyDescent="0.35">
      <c r="B19" t="s">
        <v>229</v>
      </c>
    </row>
    <row r="20" spans="2:20" x14ac:dyDescent="0.35">
      <c r="B20" t="s">
        <v>230</v>
      </c>
    </row>
    <row r="21" spans="2:20" x14ac:dyDescent="0.35">
      <c r="B21" t="s">
        <v>232</v>
      </c>
    </row>
    <row r="22" spans="2:20" x14ac:dyDescent="0.35">
      <c r="B22" t="s">
        <v>608</v>
      </c>
    </row>
    <row r="23" spans="2:20" x14ac:dyDescent="0.35">
      <c r="B23" t="s">
        <v>236</v>
      </c>
    </row>
    <row r="24" spans="2:20" x14ac:dyDescent="0.35">
      <c r="B24" t="s">
        <v>238</v>
      </c>
    </row>
    <row r="25" spans="2:20" x14ac:dyDescent="0.35">
      <c r="B25" t="s">
        <v>240</v>
      </c>
    </row>
    <row r="26" spans="2:20" x14ac:dyDescent="0.35">
      <c r="B26" t="s">
        <v>242</v>
      </c>
    </row>
    <row r="27" spans="2:20" x14ac:dyDescent="0.35">
      <c r="B27" t="s">
        <v>166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4aff2ac-d595-427e-a684-4a0a78cee1c3">
      <Terms xmlns="http://schemas.microsoft.com/office/infopath/2007/PartnerControls"/>
    </lcf76f155ced4ddcb4097134ff3c332f>
    <TaxCatchAll xmlns="914e9b2d-214c-4e67-93b5-61242d813d7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413CBE2018A440A558BC5888F58D2A" ma:contentTypeVersion="10" ma:contentTypeDescription="Create a new document." ma:contentTypeScope="" ma:versionID="7420cf43a9a13ecf2cbf7c0a7bf2dd70">
  <xsd:schema xmlns:xsd="http://www.w3.org/2001/XMLSchema" xmlns:xs="http://www.w3.org/2001/XMLSchema" xmlns:p="http://schemas.microsoft.com/office/2006/metadata/properties" xmlns:ns2="f4aff2ac-d595-427e-a684-4a0a78cee1c3" xmlns:ns3="914e9b2d-214c-4e67-93b5-61242d813d7a" targetNamespace="http://schemas.microsoft.com/office/2006/metadata/properties" ma:root="true" ma:fieldsID="e941545bb92802f2caa8e41da36936f3" ns2:_="" ns3:_="">
    <xsd:import namespace="f4aff2ac-d595-427e-a684-4a0a78cee1c3"/>
    <xsd:import namespace="914e9b2d-214c-4e67-93b5-61242d813d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aff2ac-d595-427e-a684-4a0a78cee1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951e3cd-1648-4603-828c-07d4f0a49a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4e9b2d-214c-4e67-93b5-61242d813d7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2da682c-6adb-4645-a0d7-c11be2f217d5}" ma:internalName="TaxCatchAll" ma:showField="CatchAllData" ma:web="914e9b2d-214c-4e67-93b5-61242d813d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2A7668-40DC-4D4A-B6E2-93DEEF9E1B1B}">
  <ds:schemaRefs>
    <ds:schemaRef ds:uri="http://schemas.microsoft.com/office/2006/metadata/properties"/>
    <ds:schemaRef ds:uri="http://schemas.microsoft.com/office/infopath/2007/PartnerControls"/>
    <ds:schemaRef ds:uri="f4aff2ac-d595-427e-a684-4a0a78cee1c3"/>
    <ds:schemaRef ds:uri="914e9b2d-214c-4e67-93b5-61242d813d7a"/>
  </ds:schemaRefs>
</ds:datastoreItem>
</file>

<file path=customXml/itemProps2.xml><?xml version="1.0" encoding="utf-8"?>
<ds:datastoreItem xmlns:ds="http://schemas.openxmlformats.org/officeDocument/2006/customXml" ds:itemID="{066B17A8-55C8-4846-8C7F-3D273A11EA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aff2ac-d595-427e-a684-4a0a78cee1c3"/>
    <ds:schemaRef ds:uri="914e9b2d-214c-4e67-93b5-61242d813d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24C7AFB-C672-41E7-ABB9-513E24E505C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77</vt:i4>
      </vt:variant>
    </vt:vector>
  </HeadingPairs>
  <TitlesOfParts>
    <vt:vector size="85" baseType="lpstr">
      <vt:lpstr>Instructions</vt:lpstr>
      <vt:lpstr>Asset Registry</vt:lpstr>
      <vt:lpstr>Inspections</vt:lpstr>
      <vt:lpstr>Photo_Register</vt:lpstr>
      <vt:lpstr>Site Summary</vt:lpstr>
      <vt:lpstr>Details</vt:lpstr>
      <vt:lpstr>Taxonomy</vt:lpstr>
      <vt:lpstr>Lookups</vt:lpstr>
      <vt:lpstr>ComponentType_List</vt:lpstr>
      <vt:lpstr>Def_BCF</vt:lpstr>
      <vt:lpstr>Def_CFI</vt:lpstr>
      <vt:lpstr>Def_CML</vt:lpstr>
      <vt:lpstr>Def_CND</vt:lpstr>
      <vt:lpstr>Def_CRK</vt:lpstr>
      <vt:lpstr>Def_DFI</vt:lpstr>
      <vt:lpstr>Def_ENV</vt:lpstr>
      <vt:lpstr>Def_EWF</vt:lpstr>
      <vt:lpstr>Def_FDS</vt:lpstr>
      <vt:lpstr>Def_FH</vt:lpstr>
      <vt:lpstr>Def_GHK</vt:lpstr>
      <vt:lpstr>Def_MSI</vt:lpstr>
      <vt:lpstr>Def_PF</vt:lpstr>
      <vt:lpstr>Def_SIE</vt:lpstr>
      <vt:lpstr>Def_THR</vt:lpstr>
      <vt:lpstr>DefCat_List</vt:lpstr>
      <vt:lpstr>Focus_BCF</vt:lpstr>
      <vt:lpstr>Focus_CFI</vt:lpstr>
      <vt:lpstr>Focus_CML</vt:lpstr>
      <vt:lpstr>Focus_CND</vt:lpstr>
      <vt:lpstr>Focus_CRK</vt:lpstr>
      <vt:lpstr>Focus_DFI</vt:lpstr>
      <vt:lpstr>Focus_ENV</vt:lpstr>
      <vt:lpstr>Focus_EWF</vt:lpstr>
      <vt:lpstr>Focus_FDS</vt:lpstr>
      <vt:lpstr>Focus_FH</vt:lpstr>
      <vt:lpstr>Focus_GHK</vt:lpstr>
      <vt:lpstr>Focus_MSI</vt:lpstr>
      <vt:lpstr>Focus_PF</vt:lpstr>
      <vt:lpstr>Focus_SIE</vt:lpstr>
      <vt:lpstr>Focus_THR</vt:lpstr>
      <vt:lpstr>Mech_BCF</vt:lpstr>
      <vt:lpstr>Mech_CFI</vt:lpstr>
      <vt:lpstr>Mech_CML</vt:lpstr>
      <vt:lpstr>Mech_CND</vt:lpstr>
      <vt:lpstr>Mech_CRK</vt:lpstr>
      <vt:lpstr>Mech_DFI</vt:lpstr>
      <vt:lpstr>Mech_ENV</vt:lpstr>
      <vt:lpstr>Mech_EWF</vt:lpstr>
      <vt:lpstr>Mech_FDS</vt:lpstr>
      <vt:lpstr>Mech_FH</vt:lpstr>
      <vt:lpstr>Mech_GHK</vt:lpstr>
      <vt:lpstr>Mech_MSI</vt:lpstr>
      <vt:lpstr>Mech_PF</vt:lpstr>
      <vt:lpstr>Mech_SIE</vt:lpstr>
      <vt:lpstr>Mech_THR</vt:lpstr>
      <vt:lpstr>Priority_List</vt:lpstr>
      <vt:lpstr>Risk_List</vt:lpstr>
      <vt:lpstr>SiteList</vt:lpstr>
      <vt:lpstr>Sub_AccessLadder</vt:lpstr>
      <vt:lpstr>Sub_Beams</vt:lpstr>
      <vt:lpstr>Sub_Bracing</vt:lpstr>
      <vt:lpstr>Sub_BuildingStructure</vt:lpstr>
      <vt:lpstr>Sub_CableTray</vt:lpstr>
      <vt:lpstr>Sub_CableTraySupport</vt:lpstr>
      <vt:lpstr>Sub_CatwalksWalkways</vt:lpstr>
      <vt:lpstr>Sub_ClarifierTank</vt:lpstr>
      <vt:lpstr>Sub_Column</vt:lpstr>
      <vt:lpstr>Sub_ConcreteFloor</vt:lpstr>
      <vt:lpstr>Sub_ConfinedSpace</vt:lpstr>
      <vt:lpstr>Sub_FixedLaddersCages</vt:lpstr>
      <vt:lpstr>Sub_FloorPlate</vt:lpstr>
      <vt:lpstr>Sub_FoundationPier</vt:lpstr>
      <vt:lpstr>Sub_Grating</vt:lpstr>
      <vt:lpstr>Sub_HandrailsGuardrails</vt:lpstr>
      <vt:lpstr>Sub_LimeSilo</vt:lpstr>
      <vt:lpstr>Sub_Others</vt:lpstr>
      <vt:lpstr>Sub_PipeSupport</vt:lpstr>
      <vt:lpstr>Sub_Platform</vt:lpstr>
      <vt:lpstr>Sub_PumpSupport</vt:lpstr>
      <vt:lpstr>Sub_Roofing</vt:lpstr>
      <vt:lpstr>Sub_RoofMountedUnit</vt:lpstr>
      <vt:lpstr>Sub_Stairway</vt:lpstr>
      <vt:lpstr>Sub_StorageTank</vt:lpstr>
      <vt:lpstr>Sub_WallCladding</vt:lpstr>
      <vt:lpstr>YesNo_List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Oyeniyi, Araoye</dc:creator>
  <cp:keywords/>
  <dc:description/>
  <cp:lastModifiedBy>Oyeniyi, Araoye</cp:lastModifiedBy>
  <cp:revision/>
  <dcterms:created xsi:type="dcterms:W3CDTF">2026-06-17T18:07:12Z</dcterms:created>
  <dcterms:modified xsi:type="dcterms:W3CDTF">2026-07-03T14:51:38Z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0x0101007F413CBE2018A440A558BC5888F58D2A</vt:lpwstr>
  </property>
  <property fmtid="{D5CDD505-2E9C-101B-9397-08002B2CF9AE}" pid="3" name="MediaServiceImageTags">
    <vt:lpwstr/>
  </property>
</Properties>
</file>